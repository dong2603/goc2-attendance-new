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dmin\Desktop\AC\근태문서\"/>
    </mc:Choice>
  </mc:AlternateContent>
  <xr:revisionPtr revIDLastSave="0" documentId="13_ncr:1_{D6B20F03-2546-4E45-A96D-7F5513E2248E}" xr6:coauthVersionLast="47" xr6:coauthVersionMax="47" xr10:uidLastSave="{00000000-0000-0000-0000-000000000000}"/>
  <bookViews>
    <workbookView xWindow="38290" yWindow="-110" windowWidth="38620" windowHeight="21100" xr2:uid="{00000000-000D-0000-FFFF-FFFF00000000}"/>
  </bookViews>
  <sheets>
    <sheet name="2026.5" sheetId="62" r:id="rId1"/>
    <sheet name="근무자 연락처" sheetId="2" r:id="rId2"/>
  </sheets>
  <definedNames>
    <definedName name="_xlnm._FilterDatabase" localSheetId="0" hidden="1">'2026.5'!$B$4:$AU$7</definedName>
    <definedName name="_xlnm._FilterDatabase" localSheetId="1" hidden="1">'근무자 연락처'!$B$4:$E$7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36" i="62" l="1"/>
  <c r="AN36" i="62" s="1"/>
  <c r="AO36" i="62"/>
  <c r="AP36" i="62"/>
  <c r="AQ36" i="62"/>
  <c r="AR36" i="62"/>
  <c r="AS36" i="62"/>
  <c r="AT36" i="62"/>
  <c r="AU36" i="62"/>
  <c r="AM24" i="62"/>
  <c r="AU34" i="62"/>
  <c r="AT34" i="62"/>
  <c r="AS34" i="62"/>
  <c r="AR34" i="62"/>
  <c r="AQ34" i="62"/>
  <c r="AP34" i="62"/>
  <c r="AO34" i="62"/>
  <c r="AM34" i="62"/>
  <c r="AN34" i="62" s="1"/>
  <c r="AP35" i="62" l="1"/>
  <c r="AP7" i="62"/>
  <c r="AP8" i="62"/>
  <c r="AP9" i="62"/>
  <c r="AP10" i="62"/>
  <c r="AP11" i="62"/>
  <c r="AP12" i="62"/>
  <c r="AP13" i="62"/>
  <c r="AP14" i="62"/>
  <c r="AP15" i="62"/>
  <c r="AP16" i="62"/>
  <c r="AP17" i="62"/>
  <c r="AP18" i="62"/>
  <c r="AP19" i="62"/>
  <c r="AP20" i="62"/>
  <c r="AP21" i="62"/>
  <c r="AP22" i="62"/>
  <c r="AP23" i="62"/>
  <c r="AP24" i="62"/>
  <c r="AP25" i="62"/>
  <c r="AP26" i="62"/>
  <c r="AP27" i="62"/>
  <c r="AP28" i="62"/>
  <c r="AP29" i="62"/>
  <c r="AP30" i="62"/>
  <c r="AP31" i="62"/>
  <c r="AP32" i="62"/>
  <c r="AP33" i="62"/>
  <c r="AP6" i="62"/>
  <c r="AU33" i="62"/>
  <c r="AT33" i="62"/>
  <c r="AS33" i="62"/>
  <c r="AR33" i="62"/>
  <c r="AQ33" i="62"/>
  <c r="AO33" i="62"/>
  <c r="AM33" i="62"/>
  <c r="AN33" i="62" s="1"/>
  <c r="AM32" i="62" l="1"/>
  <c r="AN32" i="62" s="1"/>
  <c r="AO32" i="62"/>
  <c r="AQ32" i="62"/>
  <c r="AR32" i="62"/>
  <c r="AS32" i="62"/>
  <c r="AT32" i="62"/>
  <c r="AU32" i="62"/>
  <c r="AN24" i="62"/>
  <c r="AO24" i="62"/>
  <c r="AQ24" i="62"/>
  <c r="AR24" i="62"/>
  <c r="AS24" i="62"/>
  <c r="AT24" i="62"/>
  <c r="AU24" i="62"/>
  <c r="AM20" i="62"/>
  <c r="AN20" i="62" s="1"/>
  <c r="AO20" i="62"/>
  <c r="AQ20" i="62"/>
  <c r="AR20" i="62"/>
  <c r="AS20" i="62"/>
  <c r="AT20" i="62"/>
  <c r="AU20" i="62"/>
  <c r="AM28" i="62" l="1"/>
  <c r="AN28" i="62" s="1"/>
  <c r="AO28" i="62"/>
  <c r="AQ28" i="62"/>
  <c r="AR28" i="62"/>
  <c r="AS28" i="62"/>
  <c r="AT28" i="62"/>
  <c r="AU28" i="62"/>
  <c r="AM29" i="62"/>
  <c r="AN29" i="62" s="1"/>
  <c r="AO29" i="62"/>
  <c r="AQ29" i="62"/>
  <c r="AR29" i="62"/>
  <c r="AS29" i="62"/>
  <c r="AT29" i="62"/>
  <c r="AU29" i="62"/>
  <c r="AM30" i="62"/>
  <c r="AN30" i="62" s="1"/>
  <c r="AO30" i="62"/>
  <c r="AQ30" i="62"/>
  <c r="AR30" i="62"/>
  <c r="AS30" i="62"/>
  <c r="AT30" i="62"/>
  <c r="AU30" i="62"/>
  <c r="AM31" i="62"/>
  <c r="AN31" i="62" s="1"/>
  <c r="AO31" i="62"/>
  <c r="AQ31" i="62"/>
  <c r="AR31" i="62"/>
  <c r="AS31" i="62"/>
  <c r="AT31" i="62"/>
  <c r="AU31" i="62"/>
  <c r="AU35" i="62" l="1"/>
  <c r="AT35" i="62"/>
  <c r="AS35" i="62"/>
  <c r="AR35" i="62"/>
  <c r="AQ35" i="62"/>
  <c r="AO35" i="62"/>
  <c r="AM35" i="62"/>
  <c r="AN35" i="62" s="1"/>
  <c r="AM12" i="62" l="1"/>
  <c r="AN12" i="62" s="1"/>
  <c r="AO12" i="62"/>
  <c r="AQ12" i="62"/>
  <c r="AR12" i="62"/>
  <c r="AS12" i="62"/>
  <c r="AT12" i="62"/>
  <c r="AU12" i="62"/>
  <c r="AM13" i="62"/>
  <c r="AN13" i="62" s="1"/>
  <c r="AO13" i="62"/>
  <c r="AQ13" i="62"/>
  <c r="AR13" i="62"/>
  <c r="AS13" i="62"/>
  <c r="AT13" i="62"/>
  <c r="AU13" i="62"/>
  <c r="AM14" i="62"/>
  <c r="AN14" i="62" s="1"/>
  <c r="AO14" i="62"/>
  <c r="AQ14" i="62"/>
  <c r="AR14" i="62"/>
  <c r="AS14" i="62"/>
  <c r="AT14" i="62"/>
  <c r="AU14" i="62"/>
  <c r="AM15" i="62"/>
  <c r="AN15" i="62" s="1"/>
  <c r="AO15" i="62"/>
  <c r="AQ15" i="62"/>
  <c r="AR15" i="62"/>
  <c r="AS15" i="62"/>
  <c r="AT15" i="62"/>
  <c r="AU15" i="62"/>
  <c r="AM16" i="62"/>
  <c r="AN16" i="62" s="1"/>
  <c r="AO16" i="62"/>
  <c r="AQ16" i="62"/>
  <c r="AR16" i="62"/>
  <c r="AS16" i="62"/>
  <c r="AT16" i="62"/>
  <c r="AU16" i="62"/>
  <c r="AM17" i="62"/>
  <c r="AN17" i="62" s="1"/>
  <c r="AO17" i="62"/>
  <c r="AQ17" i="62"/>
  <c r="AR17" i="62"/>
  <c r="AS17" i="62"/>
  <c r="AT17" i="62"/>
  <c r="AU17" i="62"/>
  <c r="AM18" i="62"/>
  <c r="AN18" i="62" s="1"/>
  <c r="AO18" i="62"/>
  <c r="AQ18" i="62"/>
  <c r="AR18" i="62"/>
  <c r="AS18" i="62"/>
  <c r="AT18" i="62"/>
  <c r="AU18" i="62"/>
  <c r="AM19" i="62"/>
  <c r="AN19" i="62" s="1"/>
  <c r="AO19" i="62"/>
  <c r="AQ19" i="62"/>
  <c r="AR19" i="62"/>
  <c r="AS19" i="62"/>
  <c r="AT19" i="62"/>
  <c r="AU19" i="62"/>
  <c r="AM21" i="62"/>
  <c r="AN21" i="62" s="1"/>
  <c r="AO21" i="62"/>
  <c r="AQ21" i="62"/>
  <c r="AR21" i="62"/>
  <c r="AS21" i="62"/>
  <c r="AT21" i="62"/>
  <c r="AU21" i="62"/>
  <c r="AM22" i="62"/>
  <c r="AN22" i="62" s="1"/>
  <c r="AO22" i="62"/>
  <c r="AQ22" i="62"/>
  <c r="AR22" i="62"/>
  <c r="AS22" i="62"/>
  <c r="AT22" i="62"/>
  <c r="AU22" i="62"/>
  <c r="AM23" i="62"/>
  <c r="AN23" i="62" s="1"/>
  <c r="AO23" i="62"/>
  <c r="AQ23" i="62"/>
  <c r="AR23" i="62"/>
  <c r="AS23" i="62"/>
  <c r="AT23" i="62"/>
  <c r="AU23" i="62"/>
  <c r="AM25" i="62"/>
  <c r="AN25" i="62" s="1"/>
  <c r="AO25" i="62"/>
  <c r="AQ25" i="62"/>
  <c r="AR25" i="62"/>
  <c r="AS25" i="62"/>
  <c r="AT25" i="62"/>
  <c r="AU25" i="62"/>
  <c r="AU27" i="62"/>
  <c r="AT27" i="62"/>
  <c r="AS27" i="62"/>
  <c r="AR27" i="62"/>
  <c r="AQ27" i="62"/>
  <c r="AO27" i="62"/>
  <c r="AM27" i="62"/>
  <c r="AN27" i="62" s="1"/>
  <c r="AM26" i="62" l="1"/>
  <c r="AN26" i="62" s="1"/>
  <c r="AO26" i="62"/>
  <c r="AQ26" i="62"/>
  <c r="AR26" i="62"/>
  <c r="AS26" i="62"/>
  <c r="AT26" i="62"/>
  <c r="AU26" i="62"/>
  <c r="AU11" i="62" l="1"/>
  <c r="AT11" i="62"/>
  <c r="AS11" i="62"/>
  <c r="AR11" i="62"/>
  <c r="AQ11" i="62"/>
  <c r="AO11" i="62"/>
  <c r="AM11" i="62"/>
  <c r="AN11" i="62" s="1"/>
  <c r="AU10" i="62"/>
  <c r="AT10" i="62"/>
  <c r="AS10" i="62"/>
  <c r="AR10" i="62"/>
  <c r="AQ10" i="62"/>
  <c r="AO10" i="62"/>
  <c r="AM10" i="62"/>
  <c r="AN10" i="62" s="1"/>
  <c r="AU9" i="62"/>
  <c r="AT9" i="62"/>
  <c r="AS9" i="62"/>
  <c r="AR9" i="62"/>
  <c r="AQ9" i="62"/>
  <c r="AO9" i="62"/>
  <c r="AM9" i="62"/>
  <c r="AN9" i="62" s="1"/>
  <c r="AU8" i="62"/>
  <c r="AT8" i="62"/>
  <c r="AS8" i="62"/>
  <c r="AR8" i="62"/>
  <c r="AQ8" i="62"/>
  <c r="AO8" i="62"/>
  <c r="AM8" i="62"/>
  <c r="AN8" i="62" s="1"/>
  <c r="AU7" i="62"/>
  <c r="AT7" i="62"/>
  <c r="AS7" i="62"/>
  <c r="AR7" i="62"/>
  <c r="AQ7" i="62"/>
  <c r="AO7" i="62"/>
  <c r="AM7" i="62"/>
  <c r="AN7" i="62" s="1"/>
  <c r="AU6" i="62"/>
  <c r="AT6" i="62"/>
  <c r="AS6" i="62"/>
  <c r="AR6" i="62"/>
  <c r="AQ6" i="62"/>
  <c r="AO6" i="62"/>
  <c r="AM6" i="62"/>
  <c r="AN6" i="62" s="1"/>
</calcChain>
</file>

<file path=xl/sharedStrings.xml><?xml version="1.0" encoding="utf-8"?>
<sst xmlns="http://schemas.openxmlformats.org/spreadsheetml/2006/main" count="1106" uniqueCount="133">
  <si>
    <t>관리자성명</t>
    <phoneticPr fontId="3" type="noConversion"/>
  </si>
  <si>
    <t>주민등록번호</t>
    <phoneticPr fontId="5" type="noConversion"/>
  </si>
  <si>
    <t>사번</t>
    <phoneticPr fontId="3" type="noConversion"/>
  </si>
  <si>
    <t>입사일</t>
    <phoneticPr fontId="5" type="noConversion"/>
  </si>
  <si>
    <t>퇴사일</t>
    <phoneticPr fontId="3" type="noConversion"/>
  </si>
  <si>
    <t>근무
일수</t>
    <phoneticPr fontId="5" type="noConversion"/>
  </si>
  <si>
    <t>출근률</t>
    <phoneticPr fontId="5" type="noConversion"/>
  </si>
  <si>
    <t>출근</t>
    <phoneticPr fontId="3" type="noConversion"/>
  </si>
  <si>
    <t>연차</t>
    <phoneticPr fontId="3" type="noConversion"/>
  </si>
  <si>
    <t>결근</t>
    <phoneticPr fontId="3" type="noConversion"/>
  </si>
  <si>
    <t>공가</t>
    <phoneticPr fontId="3" type="noConversion"/>
  </si>
  <si>
    <t>교육</t>
    <phoneticPr fontId="3" type="noConversion"/>
  </si>
  <si>
    <t>지각</t>
    <phoneticPr fontId="3" type="noConversion"/>
  </si>
  <si>
    <t>조승현</t>
  </si>
  <si>
    <t>한철규</t>
  </si>
  <si>
    <t>오윤호</t>
  </si>
  <si>
    <t>곽상순</t>
  </si>
  <si>
    <t xml:space="preserve">  근무자 연락처</t>
    <phoneticPr fontId="5" type="noConversion"/>
  </si>
  <si>
    <t>관리자성명</t>
    <phoneticPr fontId="3" type="noConversion"/>
  </si>
  <si>
    <t>이메일</t>
    <phoneticPr fontId="5" type="noConversion"/>
  </si>
  <si>
    <t>전화 번호</t>
    <phoneticPr fontId="3" type="noConversion"/>
  </si>
  <si>
    <t>010-3192-7881</t>
  </si>
  <si>
    <t>010-5220-0114</t>
  </si>
  <si>
    <t>010-9442-0818</t>
  </si>
  <si>
    <t>010-3414-1888</t>
    <phoneticPr fontId="3" type="noConversion"/>
  </si>
  <si>
    <t>윤태헌</t>
    <phoneticPr fontId="3" type="noConversion"/>
  </si>
  <si>
    <t>윤태헌</t>
  </si>
  <si>
    <t>최은권</t>
  </si>
  <si>
    <t>010-4924-8680</t>
    <phoneticPr fontId="3" type="noConversion"/>
  </si>
  <si>
    <t>천세하</t>
    <phoneticPr fontId="3" type="noConversion"/>
  </si>
  <si>
    <t>010-7277-8489</t>
    <phoneticPr fontId="3" type="noConversion"/>
  </si>
  <si>
    <t>박민용</t>
  </si>
  <si>
    <t>010-4185-2328</t>
    <phoneticPr fontId="3" type="noConversion"/>
  </si>
  <si>
    <t>조승현</t>
    <phoneticPr fontId="3" type="noConversion"/>
  </si>
  <si>
    <t>이성용</t>
    <phoneticPr fontId="3" type="noConversion"/>
  </si>
  <si>
    <t>chulkyu.han@meta-m.co.kr</t>
  </si>
  <si>
    <t>yoonho.oh@meta-m.co.kr</t>
  </si>
  <si>
    <t>snagsun.gwak@meta-m.co.kr</t>
  </si>
  <si>
    <t>tauhun.yun@meta-m.co.kr</t>
  </si>
  <si>
    <t>eunkwon.choi@meta-m.co.kr</t>
  </si>
  <si>
    <t>seha.cheon@meta-m.co.kr</t>
  </si>
  <si>
    <t>minyoung.park@meta-m.co.kr</t>
  </si>
  <si>
    <t>sungyong.lee@meta-m.co.kr</t>
  </si>
  <si>
    <t>seunghyun.cho1@meta-m.co.kr</t>
  </si>
  <si>
    <t>이성용</t>
  </si>
  <si>
    <t>임명훈</t>
  </si>
  <si>
    <t>이윤정</t>
  </si>
  <si>
    <t>이윤정</t>
    <phoneticPr fontId="3" type="noConversion"/>
  </si>
  <si>
    <t>yunjeong.lee1@meta-m.co.kr</t>
    <phoneticPr fontId="3" type="noConversion"/>
  </si>
  <si>
    <t>010-3311-8274</t>
    <phoneticPr fontId="3" type="noConversion"/>
  </si>
  <si>
    <t>연차</t>
  </si>
  <si>
    <t>출근</t>
  </si>
  <si>
    <t>/</t>
  </si>
  <si>
    <t>김병성</t>
  </si>
  <si>
    <t>김병성</t>
    <phoneticPr fontId="3" type="noConversion"/>
  </si>
  <si>
    <t>기사랑</t>
  </si>
  <si>
    <t>기사랑</t>
    <phoneticPr fontId="3" type="noConversion"/>
  </si>
  <si>
    <t>byungsung.kim@meta-m.co.kr</t>
  </si>
  <si>
    <t>sarang.ki@meta-m.co.kr</t>
  </si>
  <si>
    <t>이원우</t>
  </si>
  <si>
    <t>wonwoo.lee@meta-m.co.kr</t>
  </si>
  <si>
    <t>김승기</t>
  </si>
  <si>
    <t>myeonghun.lim@meta-m.co.kr</t>
  </si>
  <si>
    <t>김규진</t>
    <phoneticPr fontId="3" type="noConversion"/>
  </si>
  <si>
    <t>seunggi.kim@meta-m.co.kr</t>
  </si>
  <si>
    <t>010-4442-2605</t>
    <phoneticPr fontId="3" type="noConversion"/>
  </si>
  <si>
    <t>kyujin.kim@meta-m.co.kr</t>
    <phoneticPr fontId="3" type="noConversion"/>
  </si>
  <si>
    <t>재택</t>
    <phoneticPr fontId="3" type="noConversion"/>
  </si>
  <si>
    <t>▣ 부서명 : 전략게임사업부문 게임서비스본부 GOC2</t>
    <phoneticPr fontId="5" type="noConversion"/>
  </si>
  <si>
    <t>▣ 부서명 : 전략게임사업부문 게임서비스본부 GOC2</t>
    <phoneticPr fontId="5" type="noConversion"/>
  </si>
  <si>
    <t>윤영우</t>
  </si>
  <si>
    <t>youngwoo.yun@meta-m.co.kr</t>
  </si>
  <si>
    <t>양병건</t>
  </si>
  <si>
    <t>양태양</t>
  </si>
  <si>
    <t>bingchien.yang@meta-m.co.kr</t>
  </si>
  <si>
    <t>taeyang.yang@meta-m.co.kr</t>
  </si>
  <si>
    <t>김태훈</t>
  </si>
  <si>
    <t>김태훈</t>
    <phoneticPr fontId="3" type="noConversion"/>
  </si>
  <si>
    <t>양태양</t>
    <phoneticPr fontId="3" type="noConversion"/>
  </si>
  <si>
    <t>010-5449-7169</t>
    <phoneticPr fontId="3" type="noConversion"/>
  </si>
  <si>
    <t>010-9430-8310</t>
    <phoneticPr fontId="3" type="noConversion"/>
  </si>
  <si>
    <t>010-5049-5372</t>
    <phoneticPr fontId="3" type="noConversion"/>
  </si>
  <si>
    <t>010-3358-4113</t>
    <phoneticPr fontId="3" type="noConversion"/>
  </si>
  <si>
    <t>010-5731-5726</t>
    <phoneticPr fontId="3" type="noConversion"/>
  </si>
  <si>
    <t>010-2339-1540</t>
    <phoneticPr fontId="3" type="noConversion"/>
  </si>
  <si>
    <t>010-6880-7737</t>
    <phoneticPr fontId="3" type="noConversion"/>
  </si>
  <si>
    <t>010-8074-3521</t>
    <phoneticPr fontId="3" type="noConversion"/>
  </si>
  <si>
    <t>010-8728-5211</t>
    <phoneticPr fontId="3" type="noConversion"/>
  </si>
  <si>
    <t>010-3289-5710</t>
    <phoneticPr fontId="3" type="noConversion"/>
  </si>
  <si>
    <t>010-4332-9591</t>
    <phoneticPr fontId="3" type="noConversion"/>
  </si>
  <si>
    <t>taehoon.kim@meta-m.co.kr</t>
    <phoneticPr fontId="3" type="noConversion"/>
  </si>
  <si>
    <t>최세영</t>
  </si>
  <si>
    <t>천세하</t>
  </si>
  <si>
    <t>김규진</t>
  </si>
  <si>
    <t>seyoung.choi@meta-m.co.kr</t>
  </si>
  <si>
    <t>010-3417-7911</t>
  </si>
  <si>
    <t>이경희</t>
    <phoneticPr fontId="3" type="noConversion"/>
  </si>
  <si>
    <t>이경희</t>
    <phoneticPr fontId="3" type="noConversion"/>
  </si>
  <si>
    <t>kyeonghui.yi@meta-m.co.kr</t>
    <phoneticPr fontId="3" type="noConversion"/>
  </si>
  <si>
    <t>010-4233-7464</t>
    <phoneticPr fontId="3" type="noConversion"/>
  </si>
  <si>
    <t>문영준</t>
  </si>
  <si>
    <t>youngjun.moon@meta-m.co.kr</t>
  </si>
  <si>
    <t>010-4914-8159</t>
  </si>
  <si>
    <t>이가영</t>
  </si>
  <si>
    <t>이호준</t>
  </si>
  <si>
    <t>gayeong.lee@meta-m.co.kr</t>
  </si>
  <si>
    <t>010-6294-0598</t>
  </si>
  <si>
    <t>조준희</t>
    <phoneticPr fontId="3" type="noConversion"/>
  </si>
  <si>
    <t>김현정</t>
    <phoneticPr fontId="3" type="noConversion"/>
  </si>
  <si>
    <t>hojun.lee@meta-m.co.kr</t>
  </si>
  <si>
    <t>010-7474-9901</t>
  </si>
  <si>
    <t>010-5024-8911</t>
    <phoneticPr fontId="3" type="noConversion"/>
  </si>
  <si>
    <t>김현정</t>
    <phoneticPr fontId="3" type="noConversion"/>
  </si>
  <si>
    <t>hyunjeong.kim@meta-m.co.kr</t>
    <phoneticPr fontId="3" type="noConversion"/>
  </si>
  <si>
    <t>010-4388-3364</t>
    <phoneticPr fontId="3" type="noConversion"/>
  </si>
  <si>
    <t>조준희</t>
    <phoneticPr fontId="3" type="noConversion"/>
  </si>
  <si>
    <t>junhee.cho@meta-m.co.kr</t>
    <phoneticPr fontId="3" type="noConversion"/>
  </si>
  <si>
    <t>김성우</t>
  </si>
  <si>
    <t>박승헌</t>
    <phoneticPr fontId="3" type="noConversion"/>
  </si>
  <si>
    <t>지민성</t>
    <phoneticPr fontId="3" type="noConversion"/>
  </si>
  <si>
    <t>sungwoo.kim@meta-m.co.kr</t>
  </si>
  <si>
    <t>010-8398-5601</t>
  </si>
  <si>
    <t>박승헌</t>
    <phoneticPr fontId="3" type="noConversion"/>
  </si>
  <si>
    <t>010-2576-5578</t>
    <phoneticPr fontId="3" type="noConversion"/>
  </si>
  <si>
    <t>010-9514-3613</t>
    <phoneticPr fontId="3" type="noConversion"/>
  </si>
  <si>
    <t>seoungheon.park@meta-m.co.kr</t>
    <phoneticPr fontId="3" type="noConversion"/>
  </si>
  <si>
    <t>minsung.chi@meta-m.co.kr</t>
    <phoneticPr fontId="3" type="noConversion"/>
  </si>
  <si>
    <t xml:space="preserve">  2026년 5월 근태현황</t>
    <phoneticPr fontId="5" type="noConversion"/>
  </si>
  <si>
    <t>/</t>
    <phoneticPr fontId="3" type="noConversion"/>
  </si>
  <si>
    <t>반차</t>
    <phoneticPr fontId="3" type="noConversion"/>
  </si>
  <si>
    <t>김재현</t>
    <phoneticPr fontId="3" type="noConversion"/>
  </si>
  <si>
    <t xml:space="preserve"> jaehyun.kim@meta-m.co.kr</t>
    <phoneticPr fontId="3" type="noConversion"/>
  </si>
  <si>
    <t>010-7114-6095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</si>
</sst>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0.0"/>
    <numFmt numFmtId="177" formatCode="000\-000"/>
  </numFmts>
  <fonts count="1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u/>
      <sz val="1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indexed="9"/>
      <name val="맑은 고딕"/>
      <family val="3"/>
      <charset val="129"/>
      <scheme val="minor"/>
    </font>
    <font>
      <sz val="8"/>
      <name val="돋움"/>
      <family val="3"/>
      <charset val="129"/>
    </font>
    <font>
      <b/>
      <u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indexed="12"/>
      <name val="맑은 고딕"/>
      <family val="3"/>
      <charset val="129"/>
      <scheme val="minor"/>
    </font>
    <font>
      <i/>
      <sz val="10"/>
      <color rgb="FFFF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10"/>
      <color rgb="FFFF0000"/>
      <name val="맑은 고딕"/>
      <family val="3"/>
      <charset val="129"/>
      <scheme val="minor"/>
    </font>
    <font>
      <sz val="11"/>
      <name val="돋움"/>
      <family val="3"/>
      <charset val="129"/>
    </font>
    <font>
      <sz val="10"/>
      <color indexed="18"/>
      <name val="맑은 고딕"/>
      <family val="3"/>
      <charset val="129"/>
      <scheme val="minor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/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double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medium">
        <color theme="0" tint="-0.499984740745262"/>
      </right>
      <top style="thin">
        <color theme="0" tint="-0.499984740745262"/>
      </top>
      <bottom/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double">
        <color theme="0" tint="-0.499984740745262"/>
      </right>
      <top/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/>
      <right style="thin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double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double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double">
        <color theme="0" tint="-0.499984740745262"/>
      </right>
      <top style="thin">
        <color theme="0" tint="-0.499984740745262"/>
      </top>
      <bottom/>
      <diagonal/>
    </border>
    <border>
      <left style="medium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</borders>
  <cellStyleXfs count="8">
    <xf numFmtId="0" fontId="0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9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0" fontId="1" fillId="0" borderId="0">
      <alignment vertical="center"/>
    </xf>
    <xf numFmtId="0" fontId="17" fillId="0" borderId="0"/>
    <xf numFmtId="41" fontId="15" fillId="0" borderId="0" applyFont="0" applyFill="0" applyBorder="0" applyAlignment="0" applyProtection="0"/>
  </cellStyleXfs>
  <cellXfs count="82">
    <xf numFmtId="0" fontId="0" fillId="0" borderId="0" xfId="0">
      <alignment vertical="center"/>
    </xf>
    <xf numFmtId="0" fontId="2" fillId="0" borderId="0" xfId="1" applyFont="1">
      <alignment vertical="center"/>
    </xf>
    <xf numFmtId="0" fontId="6" fillId="0" borderId="0" xfId="1" applyFont="1">
      <alignment vertical="center"/>
    </xf>
    <xf numFmtId="0" fontId="6" fillId="0" borderId="0" xfId="1" applyFont="1" applyAlignment="1">
      <alignment horizontal="center" vertical="center"/>
    </xf>
    <xf numFmtId="0" fontId="7" fillId="0" borderId="0" xfId="1" applyFont="1">
      <alignment vertical="center"/>
    </xf>
    <xf numFmtId="0" fontId="7" fillId="0" borderId="0" xfId="1" applyFont="1" applyAlignment="1">
      <alignment horizontal="center" vertical="center"/>
    </xf>
    <xf numFmtId="0" fontId="8" fillId="0" borderId="0" xfId="1" applyFont="1">
      <alignment vertical="center"/>
    </xf>
    <xf numFmtId="0" fontId="8" fillId="0" borderId="0" xfId="1" applyFont="1" applyAlignment="1">
      <alignment horizontal="center" vertical="center"/>
    </xf>
    <xf numFmtId="0" fontId="9" fillId="0" borderId="0" xfId="1" applyFont="1" applyAlignment="1">
      <alignment horizontal="center" vertical="center"/>
    </xf>
    <xf numFmtId="0" fontId="10" fillId="0" borderId="0" xfId="1" applyFont="1" applyAlignment="1">
      <alignment horizontal="center" vertical="center"/>
    </xf>
    <xf numFmtId="0" fontId="11" fillId="0" borderId="1" xfId="0" applyFont="1" applyBorder="1" applyAlignment="1" applyProtection="1">
      <alignment horizontal="center" vertical="center"/>
      <protection locked="0"/>
    </xf>
    <xf numFmtId="0" fontId="7" fillId="0" borderId="1" xfId="1" applyFont="1" applyBorder="1" applyAlignment="1">
      <alignment horizontal="center" vertical="center"/>
    </xf>
    <xf numFmtId="0" fontId="11" fillId="0" borderId="1" xfId="2" applyFont="1" applyBorder="1" applyAlignment="1">
      <alignment horizontal="center" vertical="center"/>
    </xf>
    <xf numFmtId="14" fontId="13" fillId="0" borderId="1" xfId="1" applyNumberFormat="1" applyFont="1" applyBorder="1" applyAlignment="1">
      <alignment horizontal="center" vertical="center"/>
    </xf>
    <xf numFmtId="14" fontId="7" fillId="0" borderId="1" xfId="1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 wrapText="1"/>
    </xf>
    <xf numFmtId="177" fontId="11" fillId="0" borderId="3" xfId="2" applyNumberFormat="1" applyFont="1" applyBorder="1" applyAlignment="1">
      <alignment horizontal="center" vertical="center"/>
    </xf>
    <xf numFmtId="0" fontId="7" fillId="0" borderId="4" xfId="1" applyFont="1" applyBorder="1" applyAlignment="1">
      <alignment horizontal="center" vertical="center"/>
    </xf>
    <xf numFmtId="0" fontId="8" fillId="3" borderId="8" xfId="1" applyFont="1" applyFill="1" applyBorder="1" applyAlignment="1">
      <alignment horizontal="center" vertical="center"/>
    </xf>
    <xf numFmtId="177" fontId="8" fillId="3" borderId="9" xfId="1" applyNumberFormat="1" applyFont="1" applyFill="1" applyBorder="1" applyAlignment="1">
      <alignment horizontal="center" vertical="center"/>
    </xf>
    <xf numFmtId="176" fontId="7" fillId="0" borderId="2" xfId="1" quotePrefix="1" applyNumberFormat="1" applyFont="1" applyBorder="1" applyAlignment="1">
      <alignment horizontal="center" vertical="center"/>
    </xf>
    <xf numFmtId="9" fontId="16" fillId="4" borderId="10" xfId="3" applyFont="1" applyFill="1" applyBorder="1" applyAlignment="1">
      <alignment horizontal="center" vertical="center"/>
    </xf>
    <xf numFmtId="14" fontId="14" fillId="0" borderId="1" xfId="1" applyNumberFormat="1" applyFont="1" applyBorder="1" applyAlignment="1">
      <alignment horizontal="center" vertical="center"/>
    </xf>
    <xf numFmtId="0" fontId="14" fillId="0" borderId="1" xfId="1" applyFont="1" applyBorder="1" applyAlignment="1">
      <alignment horizontal="center" vertical="center"/>
    </xf>
    <xf numFmtId="0" fontId="7" fillId="0" borderId="5" xfId="1" applyFont="1" applyBorder="1" applyAlignment="1">
      <alignment horizontal="center" vertical="center"/>
    </xf>
    <xf numFmtId="0" fontId="11" fillId="0" borderId="5" xfId="2" applyFont="1" applyBorder="1" applyAlignment="1">
      <alignment horizontal="center" vertical="center"/>
    </xf>
    <xf numFmtId="14" fontId="13" fillId="0" borderId="5" xfId="1" applyNumberFormat="1" applyFont="1" applyBorder="1" applyAlignment="1">
      <alignment horizontal="center" vertical="center"/>
    </xf>
    <xf numFmtId="14" fontId="14" fillId="0" borderId="5" xfId="1" applyNumberFormat="1" applyFont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9" fontId="2" fillId="0" borderId="0" xfId="3" applyFont="1" applyAlignment="1">
      <alignment vertical="center"/>
    </xf>
    <xf numFmtId="176" fontId="7" fillId="0" borderId="13" xfId="1" quotePrefix="1" applyNumberFormat="1" applyFont="1" applyBorder="1" applyAlignment="1">
      <alignment horizontal="center" vertical="center"/>
    </xf>
    <xf numFmtId="9" fontId="16" fillId="4" borderId="14" xfId="3" applyFont="1" applyFill="1" applyBorder="1" applyAlignment="1">
      <alignment horizontal="center" vertical="center"/>
    </xf>
    <xf numFmtId="41" fontId="7" fillId="4" borderId="13" xfId="4" applyFont="1" applyFill="1" applyBorder="1" applyAlignment="1">
      <alignment horizontal="center" vertical="center"/>
    </xf>
    <xf numFmtId="41" fontId="7" fillId="4" borderId="5" xfId="4" applyFont="1" applyFill="1" applyBorder="1" applyAlignment="1">
      <alignment horizontal="center" vertical="center"/>
    </xf>
    <xf numFmtId="41" fontId="7" fillId="4" borderId="2" xfId="4" applyFont="1" applyFill="1" applyBorder="1" applyAlignment="1">
      <alignment horizontal="center" vertical="center"/>
    </xf>
    <xf numFmtId="41" fontId="7" fillId="4" borderId="1" xfId="4" applyFont="1" applyFill="1" applyBorder="1" applyAlignment="1">
      <alignment horizontal="center" vertical="center"/>
    </xf>
    <xf numFmtId="0" fontId="14" fillId="0" borderId="1" xfId="1" applyFont="1" applyBorder="1">
      <alignment vertical="center"/>
    </xf>
    <xf numFmtId="14" fontId="14" fillId="0" borderId="1" xfId="1" applyNumberFormat="1" applyFont="1" applyBorder="1">
      <alignment vertical="center"/>
    </xf>
    <xf numFmtId="9" fontId="7" fillId="0" borderId="0" xfId="3" applyFont="1" applyAlignment="1">
      <alignment vertical="center"/>
    </xf>
    <xf numFmtId="0" fontId="7" fillId="0" borderId="15" xfId="1" applyFont="1" applyBorder="1" applyAlignment="1">
      <alignment horizontal="center" vertical="center"/>
    </xf>
    <xf numFmtId="0" fontId="11" fillId="0" borderId="16" xfId="0" applyFont="1" applyBorder="1" applyAlignment="1" applyProtection="1">
      <alignment horizontal="center" vertical="center"/>
      <protection locked="0"/>
    </xf>
    <xf numFmtId="177" fontId="11" fillId="0" borderId="17" xfId="2" applyNumberFormat="1" applyFont="1" applyBorder="1" applyAlignment="1">
      <alignment horizontal="center" vertical="center"/>
    </xf>
    <xf numFmtId="0" fontId="11" fillId="0" borderId="18" xfId="0" applyFont="1" applyBorder="1" applyAlignment="1" applyProtection="1">
      <alignment horizontal="center" vertical="center"/>
      <protection locked="0"/>
    </xf>
    <xf numFmtId="177" fontId="11" fillId="0" borderId="19" xfId="2" applyNumberFormat="1" applyFont="1" applyBorder="1" applyAlignment="1">
      <alignment horizontal="center" vertical="center"/>
    </xf>
    <xf numFmtId="0" fontId="11" fillId="0" borderId="11" xfId="0" applyFont="1" applyBorder="1" applyAlignment="1" applyProtection="1">
      <alignment horizontal="center" vertical="center"/>
      <protection locked="0"/>
    </xf>
    <xf numFmtId="177" fontId="11" fillId="0" borderId="12" xfId="2" applyNumberFormat="1" applyFont="1" applyBorder="1" applyAlignment="1">
      <alignment horizontal="center" vertical="center"/>
    </xf>
    <xf numFmtId="0" fontId="8" fillId="5" borderId="8" xfId="1" applyFont="1" applyFill="1" applyBorder="1" applyAlignment="1">
      <alignment horizontal="center" vertical="center"/>
    </xf>
    <xf numFmtId="0" fontId="8" fillId="5" borderId="9" xfId="1" applyFont="1" applyFill="1" applyBorder="1" applyAlignment="1">
      <alignment horizontal="center" vertical="center"/>
    </xf>
    <xf numFmtId="0" fontId="8" fillId="5" borderId="20" xfId="1" applyFont="1" applyFill="1" applyBorder="1" applyAlignment="1">
      <alignment horizontal="center" vertical="center" wrapText="1"/>
    </xf>
    <xf numFmtId="0" fontId="8" fillId="5" borderId="21" xfId="1" applyFont="1" applyFill="1" applyBorder="1" applyAlignment="1">
      <alignment horizontal="center" vertical="center" wrapText="1"/>
    </xf>
    <xf numFmtId="0" fontId="8" fillId="5" borderId="20" xfId="1" applyFont="1" applyFill="1" applyBorder="1" applyAlignment="1">
      <alignment horizontal="center" vertical="center"/>
    </xf>
    <xf numFmtId="41" fontId="7" fillId="4" borderId="6" xfId="4" applyFont="1" applyFill="1" applyBorder="1" applyAlignment="1">
      <alignment horizontal="center" vertical="center"/>
    </xf>
    <xf numFmtId="41" fontId="7" fillId="4" borderId="3" xfId="4" applyFont="1" applyFill="1" applyBorder="1" applyAlignment="1">
      <alignment horizontal="center" vertical="center"/>
    </xf>
    <xf numFmtId="176" fontId="7" fillId="0" borderId="22" xfId="1" quotePrefix="1" applyNumberFormat="1" applyFont="1" applyBorder="1" applyAlignment="1">
      <alignment horizontal="center" vertical="center"/>
    </xf>
    <xf numFmtId="9" fontId="16" fillId="4" borderId="23" xfId="3" applyFont="1" applyFill="1" applyBorder="1" applyAlignment="1">
      <alignment horizontal="center" vertical="center"/>
    </xf>
    <xf numFmtId="41" fontId="7" fillId="4" borderId="22" xfId="4" applyFont="1" applyFill="1" applyBorder="1" applyAlignment="1">
      <alignment horizontal="center" vertical="center"/>
    </xf>
    <xf numFmtId="41" fontId="7" fillId="4" borderId="18" xfId="4" applyFont="1" applyFill="1" applyBorder="1" applyAlignment="1">
      <alignment horizontal="center" vertical="center"/>
    </xf>
    <xf numFmtId="41" fontId="7" fillId="4" borderId="19" xfId="4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24" xfId="1" applyFont="1" applyBorder="1" applyAlignment="1">
      <alignment horizontal="center" vertical="center"/>
    </xf>
    <xf numFmtId="0" fontId="7" fillId="0" borderId="25" xfId="1" applyFont="1" applyBorder="1" applyAlignment="1">
      <alignment horizontal="center" vertical="center"/>
    </xf>
    <xf numFmtId="14" fontId="7" fillId="0" borderId="25" xfId="1" applyNumberFormat="1" applyFont="1" applyBorder="1" applyAlignment="1">
      <alignment horizontal="center" vertical="center"/>
    </xf>
    <xf numFmtId="14" fontId="14" fillId="0" borderId="25" xfId="1" applyNumberFormat="1" applyFont="1" applyBorder="1" applyAlignment="1">
      <alignment horizontal="center" vertical="center"/>
    </xf>
    <xf numFmtId="0" fontId="7" fillId="5" borderId="25" xfId="0" applyFont="1" applyFill="1" applyBorder="1" applyAlignment="1">
      <alignment horizontal="center" vertical="center"/>
    </xf>
    <xf numFmtId="0" fontId="7" fillId="0" borderId="11" xfId="1" applyFont="1" applyBorder="1" applyAlignment="1">
      <alignment horizontal="center" vertical="center"/>
    </xf>
    <xf numFmtId="176" fontId="7" fillId="0" borderId="26" xfId="1" quotePrefix="1" applyNumberFormat="1" applyFont="1" applyBorder="1" applyAlignment="1">
      <alignment horizontal="center" vertical="center"/>
    </xf>
    <xf numFmtId="9" fontId="16" fillId="4" borderId="27" xfId="3" applyFont="1" applyFill="1" applyBorder="1" applyAlignment="1">
      <alignment horizontal="center" vertical="center"/>
    </xf>
    <xf numFmtId="41" fontId="7" fillId="4" borderId="26" xfId="4" applyFont="1" applyFill="1" applyBorder="1" applyAlignment="1">
      <alignment horizontal="center" vertical="center"/>
    </xf>
    <xf numFmtId="41" fontId="7" fillId="4" borderId="11" xfId="4" applyFont="1" applyFill="1" applyBorder="1" applyAlignment="1">
      <alignment horizontal="center" vertical="center"/>
    </xf>
    <xf numFmtId="41" fontId="7" fillId="4" borderId="12" xfId="4" applyFont="1" applyFill="1" applyBorder="1" applyAlignment="1">
      <alignment horizontal="center" vertical="center"/>
    </xf>
    <xf numFmtId="0" fontId="7" fillId="0" borderId="28" xfId="1" applyFont="1" applyBorder="1" applyAlignment="1">
      <alignment horizontal="center" vertical="center"/>
    </xf>
    <xf numFmtId="0" fontId="7" fillId="0" borderId="18" xfId="1" applyFont="1" applyBorder="1" applyAlignment="1">
      <alignment horizontal="center" vertical="center"/>
    </xf>
    <xf numFmtId="14" fontId="7" fillId="0" borderId="18" xfId="1" applyNumberFormat="1" applyFont="1" applyBorder="1" applyAlignment="1">
      <alignment horizontal="center" vertical="center"/>
    </xf>
    <xf numFmtId="14" fontId="14" fillId="0" borderId="18" xfId="1" applyNumberFormat="1" applyFont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6" borderId="1" xfId="1" applyFont="1" applyFill="1" applyBorder="1" applyAlignment="1">
      <alignment horizontal="center" vertical="center"/>
    </xf>
    <xf numFmtId="0" fontId="4" fillId="2" borderId="0" xfId="1" applyFont="1" applyFill="1" applyAlignment="1">
      <alignment horizontal="left" vertical="center"/>
    </xf>
    <xf numFmtId="0" fontId="8" fillId="5" borderId="7" xfId="1" applyFont="1" applyFill="1" applyBorder="1" applyAlignment="1">
      <alignment horizontal="center" vertical="center"/>
    </xf>
    <xf numFmtId="0" fontId="8" fillId="5" borderId="8" xfId="1" applyFont="1" applyFill="1" applyBorder="1" applyAlignment="1">
      <alignment horizontal="center" vertical="center"/>
    </xf>
    <xf numFmtId="0" fontId="8" fillId="3" borderId="7" xfId="1" applyFont="1" applyFill="1" applyBorder="1" applyAlignment="1">
      <alignment horizontal="center" vertical="center"/>
    </xf>
    <xf numFmtId="0" fontId="8" fillId="3" borderId="8" xfId="1" applyFont="1" applyFill="1" applyBorder="1" applyAlignment="1">
      <alignment horizontal="center" vertical="center"/>
    </xf>
  </cellXfs>
  <cellStyles count="8">
    <cellStyle name="백분율 2" xfId="3" xr:uid="{00000000-0005-0000-0000-000000000000}"/>
    <cellStyle name="쉼표 [0] 2" xfId="4" xr:uid="{00000000-0005-0000-0000-000001000000}"/>
    <cellStyle name="쉼표 [0] 2 2" xfId="7" xr:uid="{0992AE14-3D66-411C-8BF7-235BBF250A15}"/>
    <cellStyle name="표준" xfId="0" builtinId="0"/>
    <cellStyle name="표준 10 2" xfId="2" xr:uid="{00000000-0005-0000-0000-000003000000}"/>
    <cellStyle name="표준 153" xfId="1" xr:uid="{00000000-0005-0000-0000-000004000000}"/>
    <cellStyle name="표준 2" xfId="5" xr:uid="{00000000-0005-0000-0000-000005000000}"/>
    <cellStyle name="표준 3" xfId="6" xr:uid="{00000000-0005-0000-0000-000006000000}"/>
  </cellStyles>
  <dxfs count="140"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theme="5"/>
      </font>
    </dxf>
    <dxf>
      <font>
        <color rgb="FF00B050"/>
      </font>
    </dxf>
    <dxf>
      <font>
        <color rgb="FF0070C0"/>
      </font>
    </dxf>
    <dxf>
      <font>
        <color rgb="FFFF0000"/>
      </font>
    </dxf>
    <dxf>
      <font>
        <color theme="5"/>
      </font>
    </dxf>
    <dxf>
      <font>
        <color rgb="FF00B05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theme="5"/>
      </font>
    </dxf>
    <dxf>
      <font>
        <color rgb="FF0070C0"/>
      </font>
    </dxf>
    <dxf>
      <font>
        <color rgb="FFFF0000"/>
      </font>
    </dxf>
    <dxf>
      <font>
        <color theme="5"/>
      </font>
    </dxf>
    <dxf>
      <font>
        <color rgb="FF00B05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theme="5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theme="5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FF0000"/>
      </font>
    </dxf>
    <dxf>
      <font>
        <color theme="5"/>
      </font>
    </dxf>
    <dxf>
      <font>
        <color rgb="FF00B050"/>
      </font>
    </dxf>
    <dxf>
      <font>
        <color rgb="FF0070C0"/>
      </font>
    </dxf>
    <dxf>
      <font>
        <color rgb="FFFF0000"/>
      </font>
    </dxf>
    <dxf>
      <font>
        <color theme="5"/>
      </font>
    </dxf>
    <dxf>
      <font>
        <color rgb="FF00B050"/>
      </font>
    </dxf>
    <dxf>
      <font>
        <color rgb="FF0070C0"/>
      </font>
    </dxf>
    <dxf>
      <font>
        <color theme="5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00B05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theme="5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5"/>
      </font>
    </dxf>
    <dxf>
      <font>
        <color rgb="FF00B05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theme="5"/>
      </font>
    </dxf>
    <dxf>
      <font>
        <color rgb="FF00B050"/>
      </font>
    </dxf>
    <dxf>
      <font>
        <color rgb="FFFF0000"/>
      </font>
    </dxf>
    <dxf>
      <font>
        <color theme="5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theme="5"/>
      </font>
    </dxf>
    <dxf>
      <font>
        <color rgb="FFFF0000"/>
      </font>
    </dxf>
    <dxf>
      <font>
        <color rgb="FF00B050"/>
      </font>
    </dxf>
    <dxf>
      <font>
        <color theme="5"/>
      </font>
    </dxf>
    <dxf>
      <font>
        <color rgb="FF0070C0"/>
      </font>
    </dxf>
    <dxf>
      <font>
        <color rgb="FF0070C0"/>
      </font>
    </dxf>
    <dxf>
      <font>
        <color rgb="FF00B050"/>
      </font>
    </dxf>
    <dxf>
      <font>
        <color rgb="FFFF0000"/>
      </font>
    </dxf>
    <dxf>
      <font>
        <color theme="5"/>
      </font>
    </dxf>
    <dxf>
      <font>
        <color rgb="FFFF0000"/>
      </font>
    </dxf>
    <dxf>
      <font>
        <color theme="5"/>
      </font>
    </dxf>
    <dxf>
      <font>
        <color rgb="FF00B050"/>
      </font>
    </dxf>
    <dxf>
      <font>
        <color rgb="FF0070C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FF0000"/>
      </font>
    </dxf>
    <dxf>
      <font>
        <color theme="5"/>
      </font>
    </dxf>
    <dxf>
      <font>
        <color rgb="FF00B050"/>
      </font>
    </dxf>
    <dxf>
      <font>
        <color rgb="FF0070C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ont>
        <color theme="5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FF0000"/>
      </font>
    </dxf>
    <dxf>
      <font>
        <color theme="5"/>
      </font>
    </dxf>
    <dxf>
      <font>
        <color rgb="FFFF0000"/>
      </font>
    </dxf>
    <dxf>
      <font>
        <color theme="5"/>
      </font>
    </dxf>
    <dxf>
      <font>
        <color rgb="FF00B05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theme="5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U36"/>
  <sheetViews>
    <sheetView showGridLines="0" tabSelected="1" zoomScaleNormal="100" workbookViewId="0">
      <pane xSplit="7" ySplit="5" topLeftCell="H6" activePane="bottomRight" state="frozen"/>
      <selection activeCell="L19" sqref="L19"/>
      <selection pane="topRight" activeCell="L19" sqref="L19"/>
      <selection pane="bottomLeft" activeCell="L19" sqref="L19"/>
      <selection pane="bottomRight" activeCell="H6" sqref="H6"/>
    </sheetView>
  </sheetViews>
  <sheetFormatPr defaultRowHeight="16" x14ac:dyDescent="0.45"/>
  <cols>
    <col min="1" max="1" width="8.83203125" style="4" customWidth="1"/>
    <col min="2" max="2" width="3" style="4" customWidth="1"/>
    <col min="3" max="3" width="9.25" style="4" customWidth="1"/>
    <col min="4" max="4" width="14.5" style="4" hidden="1" customWidth="1"/>
    <col min="5" max="5" width="12.58203125" style="4" customWidth="1"/>
    <col min="6" max="7" width="12" style="4" customWidth="1"/>
    <col min="8" max="38" width="4.58203125" style="5" customWidth="1"/>
    <col min="39" max="39" width="8.58203125" style="5" bestFit="1" customWidth="1"/>
    <col min="40" max="40" width="6.25" style="5" customWidth="1"/>
    <col min="41" max="42" width="4.58203125" style="5" customWidth="1"/>
    <col min="43" max="44" width="4.58203125" style="5" bestFit="1" customWidth="1"/>
    <col min="45" max="47" width="4.58203125" style="5" customWidth="1"/>
    <col min="48" max="254" width="8.6640625" style="4"/>
    <col min="255" max="255" width="3" style="4" customWidth="1"/>
    <col min="256" max="256" width="7.83203125" style="4" customWidth="1"/>
    <col min="257" max="257" width="14.5" style="4" customWidth="1"/>
    <col min="258" max="258" width="11" style="4" customWidth="1"/>
    <col min="259" max="259" width="10.75" style="4" customWidth="1"/>
    <col min="260" max="260" width="9.75" style="4" customWidth="1"/>
    <col min="261" max="261" width="3.83203125" style="4" customWidth="1"/>
    <col min="262" max="291" width="3.5" style="4" customWidth="1"/>
    <col min="292" max="292" width="6" style="4" bestFit="1" customWidth="1"/>
    <col min="293" max="293" width="6.25" style="4" customWidth="1"/>
    <col min="294" max="294" width="4.75" style="4" customWidth="1"/>
    <col min="295" max="296" width="4.75" style="4" bestFit="1" customWidth="1"/>
    <col min="297" max="299" width="4.58203125" style="4" customWidth="1"/>
    <col min="300" max="301" width="4.58203125" style="4" bestFit="1" customWidth="1"/>
    <col min="302" max="302" width="4.58203125" style="4" customWidth="1"/>
    <col min="303" max="303" width="4.58203125" style="4" bestFit="1" customWidth="1"/>
    <col min="304" max="510" width="8.6640625" style="4"/>
    <col min="511" max="511" width="3" style="4" customWidth="1"/>
    <col min="512" max="512" width="7.83203125" style="4" customWidth="1"/>
    <col min="513" max="513" width="14.5" style="4" customWidth="1"/>
    <col min="514" max="514" width="11" style="4" customWidth="1"/>
    <col min="515" max="515" width="10.75" style="4" customWidth="1"/>
    <col min="516" max="516" width="9.75" style="4" customWidth="1"/>
    <col min="517" max="517" width="3.83203125" style="4" customWidth="1"/>
    <col min="518" max="547" width="3.5" style="4" customWidth="1"/>
    <col min="548" max="548" width="6" style="4" bestFit="1" customWidth="1"/>
    <col min="549" max="549" width="6.25" style="4" customWidth="1"/>
    <col min="550" max="550" width="4.75" style="4" customWidth="1"/>
    <col min="551" max="552" width="4.75" style="4" bestFit="1" customWidth="1"/>
    <col min="553" max="555" width="4.58203125" style="4" customWidth="1"/>
    <col min="556" max="557" width="4.58203125" style="4" bestFit="1" customWidth="1"/>
    <col min="558" max="558" width="4.58203125" style="4" customWidth="1"/>
    <col min="559" max="559" width="4.58203125" style="4" bestFit="1" customWidth="1"/>
    <col min="560" max="766" width="8.6640625" style="4"/>
    <col min="767" max="767" width="3" style="4" customWidth="1"/>
    <col min="768" max="768" width="7.83203125" style="4" customWidth="1"/>
    <col min="769" max="769" width="14.5" style="4" customWidth="1"/>
    <col min="770" max="770" width="11" style="4" customWidth="1"/>
    <col min="771" max="771" width="10.75" style="4" customWidth="1"/>
    <col min="772" max="772" width="9.75" style="4" customWidth="1"/>
    <col min="773" max="773" width="3.83203125" style="4" customWidth="1"/>
    <col min="774" max="803" width="3.5" style="4" customWidth="1"/>
    <col min="804" max="804" width="6" style="4" bestFit="1" customWidth="1"/>
    <col min="805" max="805" width="6.25" style="4" customWidth="1"/>
    <col min="806" max="806" width="4.75" style="4" customWidth="1"/>
    <col min="807" max="808" width="4.75" style="4" bestFit="1" customWidth="1"/>
    <col min="809" max="811" width="4.58203125" style="4" customWidth="1"/>
    <col min="812" max="813" width="4.58203125" style="4" bestFit="1" customWidth="1"/>
    <col min="814" max="814" width="4.58203125" style="4" customWidth="1"/>
    <col min="815" max="815" width="4.58203125" style="4" bestFit="1" customWidth="1"/>
    <col min="816" max="1022" width="8.6640625" style="4"/>
    <col min="1023" max="1023" width="3" style="4" customWidth="1"/>
    <col min="1024" max="1024" width="7.83203125" style="4" customWidth="1"/>
    <col min="1025" max="1025" width="14.5" style="4" customWidth="1"/>
    <col min="1026" max="1026" width="11" style="4" customWidth="1"/>
    <col min="1027" max="1027" width="10.75" style="4" customWidth="1"/>
    <col min="1028" max="1028" width="9.75" style="4" customWidth="1"/>
    <col min="1029" max="1029" width="3.83203125" style="4" customWidth="1"/>
    <col min="1030" max="1059" width="3.5" style="4" customWidth="1"/>
    <col min="1060" max="1060" width="6" style="4" bestFit="1" customWidth="1"/>
    <col min="1061" max="1061" width="6.25" style="4" customWidth="1"/>
    <col min="1062" max="1062" width="4.75" style="4" customWidth="1"/>
    <col min="1063" max="1064" width="4.75" style="4" bestFit="1" customWidth="1"/>
    <col min="1065" max="1067" width="4.58203125" style="4" customWidth="1"/>
    <col min="1068" max="1069" width="4.58203125" style="4" bestFit="1" customWidth="1"/>
    <col min="1070" max="1070" width="4.58203125" style="4" customWidth="1"/>
    <col min="1071" max="1071" width="4.58203125" style="4" bestFit="1" customWidth="1"/>
    <col min="1072" max="1278" width="8.6640625" style="4"/>
    <col min="1279" max="1279" width="3" style="4" customWidth="1"/>
    <col min="1280" max="1280" width="7.83203125" style="4" customWidth="1"/>
    <col min="1281" max="1281" width="14.5" style="4" customWidth="1"/>
    <col min="1282" max="1282" width="11" style="4" customWidth="1"/>
    <col min="1283" max="1283" width="10.75" style="4" customWidth="1"/>
    <col min="1284" max="1284" width="9.75" style="4" customWidth="1"/>
    <col min="1285" max="1285" width="3.83203125" style="4" customWidth="1"/>
    <col min="1286" max="1315" width="3.5" style="4" customWidth="1"/>
    <col min="1316" max="1316" width="6" style="4" bestFit="1" customWidth="1"/>
    <col min="1317" max="1317" width="6.25" style="4" customWidth="1"/>
    <col min="1318" max="1318" width="4.75" style="4" customWidth="1"/>
    <col min="1319" max="1320" width="4.75" style="4" bestFit="1" customWidth="1"/>
    <col min="1321" max="1323" width="4.58203125" style="4" customWidth="1"/>
    <col min="1324" max="1325" width="4.58203125" style="4" bestFit="1" customWidth="1"/>
    <col min="1326" max="1326" width="4.58203125" style="4" customWidth="1"/>
    <col min="1327" max="1327" width="4.58203125" style="4" bestFit="1" customWidth="1"/>
    <col min="1328" max="1534" width="8.6640625" style="4"/>
    <col min="1535" max="1535" width="3" style="4" customWidth="1"/>
    <col min="1536" max="1536" width="7.83203125" style="4" customWidth="1"/>
    <col min="1537" max="1537" width="14.5" style="4" customWidth="1"/>
    <col min="1538" max="1538" width="11" style="4" customWidth="1"/>
    <col min="1539" max="1539" width="10.75" style="4" customWidth="1"/>
    <col min="1540" max="1540" width="9.75" style="4" customWidth="1"/>
    <col min="1541" max="1541" width="3.83203125" style="4" customWidth="1"/>
    <col min="1542" max="1571" width="3.5" style="4" customWidth="1"/>
    <col min="1572" max="1572" width="6" style="4" bestFit="1" customWidth="1"/>
    <col min="1573" max="1573" width="6.25" style="4" customWidth="1"/>
    <col min="1574" max="1574" width="4.75" style="4" customWidth="1"/>
    <col min="1575" max="1576" width="4.75" style="4" bestFit="1" customWidth="1"/>
    <col min="1577" max="1579" width="4.58203125" style="4" customWidth="1"/>
    <col min="1580" max="1581" width="4.58203125" style="4" bestFit="1" customWidth="1"/>
    <col min="1582" max="1582" width="4.58203125" style="4" customWidth="1"/>
    <col min="1583" max="1583" width="4.58203125" style="4" bestFit="1" customWidth="1"/>
    <col min="1584" max="1790" width="8.6640625" style="4"/>
    <col min="1791" max="1791" width="3" style="4" customWidth="1"/>
    <col min="1792" max="1792" width="7.83203125" style="4" customWidth="1"/>
    <col min="1793" max="1793" width="14.5" style="4" customWidth="1"/>
    <col min="1794" max="1794" width="11" style="4" customWidth="1"/>
    <col min="1795" max="1795" width="10.75" style="4" customWidth="1"/>
    <col min="1796" max="1796" width="9.75" style="4" customWidth="1"/>
    <col min="1797" max="1797" width="3.83203125" style="4" customWidth="1"/>
    <col min="1798" max="1827" width="3.5" style="4" customWidth="1"/>
    <col min="1828" max="1828" width="6" style="4" bestFit="1" customWidth="1"/>
    <col min="1829" max="1829" width="6.25" style="4" customWidth="1"/>
    <col min="1830" max="1830" width="4.75" style="4" customWidth="1"/>
    <col min="1831" max="1832" width="4.75" style="4" bestFit="1" customWidth="1"/>
    <col min="1833" max="1835" width="4.58203125" style="4" customWidth="1"/>
    <col min="1836" max="1837" width="4.58203125" style="4" bestFit="1" customWidth="1"/>
    <col min="1838" max="1838" width="4.58203125" style="4" customWidth="1"/>
    <col min="1839" max="1839" width="4.58203125" style="4" bestFit="1" customWidth="1"/>
    <col min="1840" max="2046" width="8.6640625" style="4"/>
    <col min="2047" max="2047" width="3" style="4" customWidth="1"/>
    <col min="2048" max="2048" width="7.83203125" style="4" customWidth="1"/>
    <col min="2049" max="2049" width="14.5" style="4" customWidth="1"/>
    <col min="2050" max="2050" width="11" style="4" customWidth="1"/>
    <col min="2051" max="2051" width="10.75" style="4" customWidth="1"/>
    <col min="2052" max="2052" width="9.75" style="4" customWidth="1"/>
    <col min="2053" max="2053" width="3.83203125" style="4" customWidth="1"/>
    <col min="2054" max="2083" width="3.5" style="4" customWidth="1"/>
    <col min="2084" max="2084" width="6" style="4" bestFit="1" customWidth="1"/>
    <col min="2085" max="2085" width="6.25" style="4" customWidth="1"/>
    <col min="2086" max="2086" width="4.75" style="4" customWidth="1"/>
    <col min="2087" max="2088" width="4.75" style="4" bestFit="1" customWidth="1"/>
    <col min="2089" max="2091" width="4.58203125" style="4" customWidth="1"/>
    <col min="2092" max="2093" width="4.58203125" style="4" bestFit="1" customWidth="1"/>
    <col min="2094" max="2094" width="4.58203125" style="4" customWidth="1"/>
    <col min="2095" max="2095" width="4.58203125" style="4" bestFit="1" customWidth="1"/>
    <col min="2096" max="2302" width="8.6640625" style="4"/>
    <col min="2303" max="2303" width="3" style="4" customWidth="1"/>
    <col min="2304" max="2304" width="7.83203125" style="4" customWidth="1"/>
    <col min="2305" max="2305" width="14.5" style="4" customWidth="1"/>
    <col min="2306" max="2306" width="11" style="4" customWidth="1"/>
    <col min="2307" max="2307" width="10.75" style="4" customWidth="1"/>
    <col min="2308" max="2308" width="9.75" style="4" customWidth="1"/>
    <col min="2309" max="2309" width="3.83203125" style="4" customWidth="1"/>
    <col min="2310" max="2339" width="3.5" style="4" customWidth="1"/>
    <col min="2340" max="2340" width="6" style="4" bestFit="1" customWidth="1"/>
    <col min="2341" max="2341" width="6.25" style="4" customWidth="1"/>
    <col min="2342" max="2342" width="4.75" style="4" customWidth="1"/>
    <col min="2343" max="2344" width="4.75" style="4" bestFit="1" customWidth="1"/>
    <col min="2345" max="2347" width="4.58203125" style="4" customWidth="1"/>
    <col min="2348" max="2349" width="4.58203125" style="4" bestFit="1" customWidth="1"/>
    <col min="2350" max="2350" width="4.58203125" style="4" customWidth="1"/>
    <col min="2351" max="2351" width="4.58203125" style="4" bestFit="1" customWidth="1"/>
    <col min="2352" max="2558" width="8.6640625" style="4"/>
    <col min="2559" max="2559" width="3" style="4" customWidth="1"/>
    <col min="2560" max="2560" width="7.83203125" style="4" customWidth="1"/>
    <col min="2561" max="2561" width="14.5" style="4" customWidth="1"/>
    <col min="2562" max="2562" width="11" style="4" customWidth="1"/>
    <col min="2563" max="2563" width="10.75" style="4" customWidth="1"/>
    <col min="2564" max="2564" width="9.75" style="4" customWidth="1"/>
    <col min="2565" max="2565" width="3.83203125" style="4" customWidth="1"/>
    <col min="2566" max="2595" width="3.5" style="4" customWidth="1"/>
    <col min="2596" max="2596" width="6" style="4" bestFit="1" customWidth="1"/>
    <col min="2597" max="2597" width="6.25" style="4" customWidth="1"/>
    <col min="2598" max="2598" width="4.75" style="4" customWidth="1"/>
    <col min="2599" max="2600" width="4.75" style="4" bestFit="1" customWidth="1"/>
    <col min="2601" max="2603" width="4.58203125" style="4" customWidth="1"/>
    <col min="2604" max="2605" width="4.58203125" style="4" bestFit="1" customWidth="1"/>
    <col min="2606" max="2606" width="4.58203125" style="4" customWidth="1"/>
    <col min="2607" max="2607" width="4.58203125" style="4" bestFit="1" customWidth="1"/>
    <col min="2608" max="2814" width="8.6640625" style="4"/>
    <col min="2815" max="2815" width="3" style="4" customWidth="1"/>
    <col min="2816" max="2816" width="7.83203125" style="4" customWidth="1"/>
    <col min="2817" max="2817" width="14.5" style="4" customWidth="1"/>
    <col min="2818" max="2818" width="11" style="4" customWidth="1"/>
    <col min="2819" max="2819" width="10.75" style="4" customWidth="1"/>
    <col min="2820" max="2820" width="9.75" style="4" customWidth="1"/>
    <col min="2821" max="2821" width="3.83203125" style="4" customWidth="1"/>
    <col min="2822" max="2851" width="3.5" style="4" customWidth="1"/>
    <col min="2852" max="2852" width="6" style="4" bestFit="1" customWidth="1"/>
    <col min="2853" max="2853" width="6.25" style="4" customWidth="1"/>
    <col min="2854" max="2854" width="4.75" style="4" customWidth="1"/>
    <col min="2855" max="2856" width="4.75" style="4" bestFit="1" customWidth="1"/>
    <col min="2857" max="2859" width="4.58203125" style="4" customWidth="1"/>
    <col min="2860" max="2861" width="4.58203125" style="4" bestFit="1" customWidth="1"/>
    <col min="2862" max="2862" width="4.58203125" style="4" customWidth="1"/>
    <col min="2863" max="2863" width="4.58203125" style="4" bestFit="1" customWidth="1"/>
    <col min="2864" max="3070" width="8.6640625" style="4"/>
    <col min="3071" max="3071" width="3" style="4" customWidth="1"/>
    <col min="3072" max="3072" width="7.83203125" style="4" customWidth="1"/>
    <col min="3073" max="3073" width="14.5" style="4" customWidth="1"/>
    <col min="3074" max="3074" width="11" style="4" customWidth="1"/>
    <col min="3075" max="3075" width="10.75" style="4" customWidth="1"/>
    <col min="3076" max="3076" width="9.75" style="4" customWidth="1"/>
    <col min="3077" max="3077" width="3.83203125" style="4" customWidth="1"/>
    <col min="3078" max="3107" width="3.5" style="4" customWidth="1"/>
    <col min="3108" max="3108" width="6" style="4" bestFit="1" customWidth="1"/>
    <col min="3109" max="3109" width="6.25" style="4" customWidth="1"/>
    <col min="3110" max="3110" width="4.75" style="4" customWidth="1"/>
    <col min="3111" max="3112" width="4.75" style="4" bestFit="1" customWidth="1"/>
    <col min="3113" max="3115" width="4.58203125" style="4" customWidth="1"/>
    <col min="3116" max="3117" width="4.58203125" style="4" bestFit="1" customWidth="1"/>
    <col min="3118" max="3118" width="4.58203125" style="4" customWidth="1"/>
    <col min="3119" max="3119" width="4.58203125" style="4" bestFit="1" customWidth="1"/>
    <col min="3120" max="3326" width="8.6640625" style="4"/>
    <col min="3327" max="3327" width="3" style="4" customWidth="1"/>
    <col min="3328" max="3328" width="7.83203125" style="4" customWidth="1"/>
    <col min="3329" max="3329" width="14.5" style="4" customWidth="1"/>
    <col min="3330" max="3330" width="11" style="4" customWidth="1"/>
    <col min="3331" max="3331" width="10.75" style="4" customWidth="1"/>
    <col min="3332" max="3332" width="9.75" style="4" customWidth="1"/>
    <col min="3333" max="3333" width="3.83203125" style="4" customWidth="1"/>
    <col min="3334" max="3363" width="3.5" style="4" customWidth="1"/>
    <col min="3364" max="3364" width="6" style="4" bestFit="1" customWidth="1"/>
    <col min="3365" max="3365" width="6.25" style="4" customWidth="1"/>
    <col min="3366" max="3366" width="4.75" style="4" customWidth="1"/>
    <col min="3367" max="3368" width="4.75" style="4" bestFit="1" customWidth="1"/>
    <col min="3369" max="3371" width="4.58203125" style="4" customWidth="1"/>
    <col min="3372" max="3373" width="4.58203125" style="4" bestFit="1" customWidth="1"/>
    <col min="3374" max="3374" width="4.58203125" style="4" customWidth="1"/>
    <col min="3375" max="3375" width="4.58203125" style="4" bestFit="1" customWidth="1"/>
    <col min="3376" max="3582" width="8.6640625" style="4"/>
    <col min="3583" max="3583" width="3" style="4" customWidth="1"/>
    <col min="3584" max="3584" width="7.83203125" style="4" customWidth="1"/>
    <col min="3585" max="3585" width="14.5" style="4" customWidth="1"/>
    <col min="3586" max="3586" width="11" style="4" customWidth="1"/>
    <col min="3587" max="3587" width="10.75" style="4" customWidth="1"/>
    <col min="3588" max="3588" width="9.75" style="4" customWidth="1"/>
    <col min="3589" max="3589" width="3.83203125" style="4" customWidth="1"/>
    <col min="3590" max="3619" width="3.5" style="4" customWidth="1"/>
    <col min="3620" max="3620" width="6" style="4" bestFit="1" customWidth="1"/>
    <col min="3621" max="3621" width="6.25" style="4" customWidth="1"/>
    <col min="3622" max="3622" width="4.75" style="4" customWidth="1"/>
    <col min="3623" max="3624" width="4.75" style="4" bestFit="1" customWidth="1"/>
    <col min="3625" max="3627" width="4.58203125" style="4" customWidth="1"/>
    <col min="3628" max="3629" width="4.58203125" style="4" bestFit="1" customWidth="1"/>
    <col min="3630" max="3630" width="4.58203125" style="4" customWidth="1"/>
    <col min="3631" max="3631" width="4.58203125" style="4" bestFit="1" customWidth="1"/>
    <col min="3632" max="3838" width="8.6640625" style="4"/>
    <col min="3839" max="3839" width="3" style="4" customWidth="1"/>
    <col min="3840" max="3840" width="7.83203125" style="4" customWidth="1"/>
    <col min="3841" max="3841" width="14.5" style="4" customWidth="1"/>
    <col min="3842" max="3842" width="11" style="4" customWidth="1"/>
    <col min="3843" max="3843" width="10.75" style="4" customWidth="1"/>
    <col min="3844" max="3844" width="9.75" style="4" customWidth="1"/>
    <col min="3845" max="3845" width="3.83203125" style="4" customWidth="1"/>
    <col min="3846" max="3875" width="3.5" style="4" customWidth="1"/>
    <col min="3876" max="3876" width="6" style="4" bestFit="1" customWidth="1"/>
    <col min="3877" max="3877" width="6.25" style="4" customWidth="1"/>
    <col min="3878" max="3878" width="4.75" style="4" customWidth="1"/>
    <col min="3879" max="3880" width="4.75" style="4" bestFit="1" customWidth="1"/>
    <col min="3881" max="3883" width="4.58203125" style="4" customWidth="1"/>
    <col min="3884" max="3885" width="4.58203125" style="4" bestFit="1" customWidth="1"/>
    <col min="3886" max="3886" width="4.58203125" style="4" customWidth="1"/>
    <col min="3887" max="3887" width="4.58203125" style="4" bestFit="1" customWidth="1"/>
    <col min="3888" max="4094" width="8.6640625" style="4"/>
    <col min="4095" max="4095" width="3" style="4" customWidth="1"/>
    <col min="4096" max="4096" width="7.83203125" style="4" customWidth="1"/>
    <col min="4097" max="4097" width="14.5" style="4" customWidth="1"/>
    <col min="4098" max="4098" width="11" style="4" customWidth="1"/>
    <col min="4099" max="4099" width="10.75" style="4" customWidth="1"/>
    <col min="4100" max="4100" width="9.75" style="4" customWidth="1"/>
    <col min="4101" max="4101" width="3.83203125" style="4" customWidth="1"/>
    <col min="4102" max="4131" width="3.5" style="4" customWidth="1"/>
    <col min="4132" max="4132" width="6" style="4" bestFit="1" customWidth="1"/>
    <col min="4133" max="4133" width="6.25" style="4" customWidth="1"/>
    <col min="4134" max="4134" width="4.75" style="4" customWidth="1"/>
    <col min="4135" max="4136" width="4.75" style="4" bestFit="1" customWidth="1"/>
    <col min="4137" max="4139" width="4.58203125" style="4" customWidth="1"/>
    <col min="4140" max="4141" width="4.58203125" style="4" bestFit="1" customWidth="1"/>
    <col min="4142" max="4142" width="4.58203125" style="4" customWidth="1"/>
    <col min="4143" max="4143" width="4.58203125" style="4" bestFit="1" customWidth="1"/>
    <col min="4144" max="4350" width="8.6640625" style="4"/>
    <col min="4351" max="4351" width="3" style="4" customWidth="1"/>
    <col min="4352" max="4352" width="7.83203125" style="4" customWidth="1"/>
    <col min="4353" max="4353" width="14.5" style="4" customWidth="1"/>
    <col min="4354" max="4354" width="11" style="4" customWidth="1"/>
    <col min="4355" max="4355" width="10.75" style="4" customWidth="1"/>
    <col min="4356" max="4356" width="9.75" style="4" customWidth="1"/>
    <col min="4357" max="4357" width="3.83203125" style="4" customWidth="1"/>
    <col min="4358" max="4387" width="3.5" style="4" customWidth="1"/>
    <col min="4388" max="4388" width="6" style="4" bestFit="1" customWidth="1"/>
    <col min="4389" max="4389" width="6.25" style="4" customWidth="1"/>
    <col min="4390" max="4390" width="4.75" style="4" customWidth="1"/>
    <col min="4391" max="4392" width="4.75" style="4" bestFit="1" customWidth="1"/>
    <col min="4393" max="4395" width="4.58203125" style="4" customWidth="1"/>
    <col min="4396" max="4397" width="4.58203125" style="4" bestFit="1" customWidth="1"/>
    <col min="4398" max="4398" width="4.58203125" style="4" customWidth="1"/>
    <col min="4399" max="4399" width="4.58203125" style="4" bestFit="1" customWidth="1"/>
    <col min="4400" max="4606" width="8.6640625" style="4"/>
    <col min="4607" max="4607" width="3" style="4" customWidth="1"/>
    <col min="4608" max="4608" width="7.83203125" style="4" customWidth="1"/>
    <col min="4609" max="4609" width="14.5" style="4" customWidth="1"/>
    <col min="4610" max="4610" width="11" style="4" customWidth="1"/>
    <col min="4611" max="4611" width="10.75" style="4" customWidth="1"/>
    <col min="4612" max="4612" width="9.75" style="4" customWidth="1"/>
    <col min="4613" max="4613" width="3.83203125" style="4" customWidth="1"/>
    <col min="4614" max="4643" width="3.5" style="4" customWidth="1"/>
    <col min="4644" max="4644" width="6" style="4" bestFit="1" customWidth="1"/>
    <col min="4645" max="4645" width="6.25" style="4" customWidth="1"/>
    <col min="4646" max="4646" width="4.75" style="4" customWidth="1"/>
    <col min="4647" max="4648" width="4.75" style="4" bestFit="1" customWidth="1"/>
    <col min="4649" max="4651" width="4.58203125" style="4" customWidth="1"/>
    <col min="4652" max="4653" width="4.58203125" style="4" bestFit="1" customWidth="1"/>
    <col min="4654" max="4654" width="4.58203125" style="4" customWidth="1"/>
    <col min="4655" max="4655" width="4.58203125" style="4" bestFit="1" customWidth="1"/>
    <col min="4656" max="4862" width="8.6640625" style="4"/>
    <col min="4863" max="4863" width="3" style="4" customWidth="1"/>
    <col min="4864" max="4864" width="7.83203125" style="4" customWidth="1"/>
    <col min="4865" max="4865" width="14.5" style="4" customWidth="1"/>
    <col min="4866" max="4866" width="11" style="4" customWidth="1"/>
    <col min="4867" max="4867" width="10.75" style="4" customWidth="1"/>
    <col min="4868" max="4868" width="9.75" style="4" customWidth="1"/>
    <col min="4869" max="4869" width="3.83203125" style="4" customWidth="1"/>
    <col min="4870" max="4899" width="3.5" style="4" customWidth="1"/>
    <col min="4900" max="4900" width="6" style="4" bestFit="1" customWidth="1"/>
    <col min="4901" max="4901" width="6.25" style="4" customWidth="1"/>
    <col min="4902" max="4902" width="4.75" style="4" customWidth="1"/>
    <col min="4903" max="4904" width="4.75" style="4" bestFit="1" customWidth="1"/>
    <col min="4905" max="4907" width="4.58203125" style="4" customWidth="1"/>
    <col min="4908" max="4909" width="4.58203125" style="4" bestFit="1" customWidth="1"/>
    <col min="4910" max="4910" width="4.58203125" style="4" customWidth="1"/>
    <col min="4911" max="4911" width="4.58203125" style="4" bestFit="1" customWidth="1"/>
    <col min="4912" max="5118" width="8.6640625" style="4"/>
    <col min="5119" max="5119" width="3" style="4" customWidth="1"/>
    <col min="5120" max="5120" width="7.83203125" style="4" customWidth="1"/>
    <col min="5121" max="5121" width="14.5" style="4" customWidth="1"/>
    <col min="5122" max="5122" width="11" style="4" customWidth="1"/>
    <col min="5123" max="5123" width="10.75" style="4" customWidth="1"/>
    <col min="5124" max="5124" width="9.75" style="4" customWidth="1"/>
    <col min="5125" max="5125" width="3.83203125" style="4" customWidth="1"/>
    <col min="5126" max="5155" width="3.5" style="4" customWidth="1"/>
    <col min="5156" max="5156" width="6" style="4" bestFit="1" customWidth="1"/>
    <col min="5157" max="5157" width="6.25" style="4" customWidth="1"/>
    <col min="5158" max="5158" width="4.75" style="4" customWidth="1"/>
    <col min="5159" max="5160" width="4.75" style="4" bestFit="1" customWidth="1"/>
    <col min="5161" max="5163" width="4.58203125" style="4" customWidth="1"/>
    <col min="5164" max="5165" width="4.58203125" style="4" bestFit="1" customWidth="1"/>
    <col min="5166" max="5166" width="4.58203125" style="4" customWidth="1"/>
    <col min="5167" max="5167" width="4.58203125" style="4" bestFit="1" customWidth="1"/>
    <col min="5168" max="5374" width="8.6640625" style="4"/>
    <col min="5375" max="5375" width="3" style="4" customWidth="1"/>
    <col min="5376" max="5376" width="7.83203125" style="4" customWidth="1"/>
    <col min="5377" max="5377" width="14.5" style="4" customWidth="1"/>
    <col min="5378" max="5378" width="11" style="4" customWidth="1"/>
    <col min="5379" max="5379" width="10.75" style="4" customWidth="1"/>
    <col min="5380" max="5380" width="9.75" style="4" customWidth="1"/>
    <col min="5381" max="5381" width="3.83203125" style="4" customWidth="1"/>
    <col min="5382" max="5411" width="3.5" style="4" customWidth="1"/>
    <col min="5412" max="5412" width="6" style="4" bestFit="1" customWidth="1"/>
    <col min="5413" max="5413" width="6.25" style="4" customWidth="1"/>
    <col min="5414" max="5414" width="4.75" style="4" customWidth="1"/>
    <col min="5415" max="5416" width="4.75" style="4" bestFit="1" customWidth="1"/>
    <col min="5417" max="5419" width="4.58203125" style="4" customWidth="1"/>
    <col min="5420" max="5421" width="4.58203125" style="4" bestFit="1" customWidth="1"/>
    <col min="5422" max="5422" width="4.58203125" style="4" customWidth="1"/>
    <col min="5423" max="5423" width="4.58203125" style="4" bestFit="1" customWidth="1"/>
    <col min="5424" max="5630" width="8.6640625" style="4"/>
    <col min="5631" max="5631" width="3" style="4" customWidth="1"/>
    <col min="5632" max="5632" width="7.83203125" style="4" customWidth="1"/>
    <col min="5633" max="5633" width="14.5" style="4" customWidth="1"/>
    <col min="5634" max="5634" width="11" style="4" customWidth="1"/>
    <col min="5635" max="5635" width="10.75" style="4" customWidth="1"/>
    <col min="5636" max="5636" width="9.75" style="4" customWidth="1"/>
    <col min="5637" max="5637" width="3.83203125" style="4" customWidth="1"/>
    <col min="5638" max="5667" width="3.5" style="4" customWidth="1"/>
    <col min="5668" max="5668" width="6" style="4" bestFit="1" customWidth="1"/>
    <col min="5669" max="5669" width="6.25" style="4" customWidth="1"/>
    <col min="5670" max="5670" width="4.75" style="4" customWidth="1"/>
    <col min="5671" max="5672" width="4.75" style="4" bestFit="1" customWidth="1"/>
    <col min="5673" max="5675" width="4.58203125" style="4" customWidth="1"/>
    <col min="5676" max="5677" width="4.58203125" style="4" bestFit="1" customWidth="1"/>
    <col min="5678" max="5678" width="4.58203125" style="4" customWidth="1"/>
    <col min="5679" max="5679" width="4.58203125" style="4" bestFit="1" customWidth="1"/>
    <col min="5680" max="5886" width="8.6640625" style="4"/>
    <col min="5887" max="5887" width="3" style="4" customWidth="1"/>
    <col min="5888" max="5888" width="7.83203125" style="4" customWidth="1"/>
    <col min="5889" max="5889" width="14.5" style="4" customWidth="1"/>
    <col min="5890" max="5890" width="11" style="4" customWidth="1"/>
    <col min="5891" max="5891" width="10.75" style="4" customWidth="1"/>
    <col min="5892" max="5892" width="9.75" style="4" customWidth="1"/>
    <col min="5893" max="5893" width="3.83203125" style="4" customWidth="1"/>
    <col min="5894" max="5923" width="3.5" style="4" customWidth="1"/>
    <col min="5924" max="5924" width="6" style="4" bestFit="1" customWidth="1"/>
    <col min="5925" max="5925" width="6.25" style="4" customWidth="1"/>
    <col min="5926" max="5926" width="4.75" style="4" customWidth="1"/>
    <col min="5927" max="5928" width="4.75" style="4" bestFit="1" customWidth="1"/>
    <col min="5929" max="5931" width="4.58203125" style="4" customWidth="1"/>
    <col min="5932" max="5933" width="4.58203125" style="4" bestFit="1" customWidth="1"/>
    <col min="5934" max="5934" width="4.58203125" style="4" customWidth="1"/>
    <col min="5935" max="5935" width="4.58203125" style="4" bestFit="1" customWidth="1"/>
    <col min="5936" max="6142" width="8.6640625" style="4"/>
    <col min="6143" max="6143" width="3" style="4" customWidth="1"/>
    <col min="6144" max="6144" width="7.83203125" style="4" customWidth="1"/>
    <col min="6145" max="6145" width="14.5" style="4" customWidth="1"/>
    <col min="6146" max="6146" width="11" style="4" customWidth="1"/>
    <col min="6147" max="6147" width="10.75" style="4" customWidth="1"/>
    <col min="6148" max="6148" width="9.75" style="4" customWidth="1"/>
    <col min="6149" max="6149" width="3.83203125" style="4" customWidth="1"/>
    <col min="6150" max="6179" width="3.5" style="4" customWidth="1"/>
    <col min="6180" max="6180" width="6" style="4" bestFit="1" customWidth="1"/>
    <col min="6181" max="6181" width="6.25" style="4" customWidth="1"/>
    <col min="6182" max="6182" width="4.75" style="4" customWidth="1"/>
    <col min="6183" max="6184" width="4.75" style="4" bestFit="1" customWidth="1"/>
    <col min="6185" max="6187" width="4.58203125" style="4" customWidth="1"/>
    <col min="6188" max="6189" width="4.58203125" style="4" bestFit="1" customWidth="1"/>
    <col min="6190" max="6190" width="4.58203125" style="4" customWidth="1"/>
    <col min="6191" max="6191" width="4.58203125" style="4" bestFit="1" customWidth="1"/>
    <col min="6192" max="6398" width="8.6640625" style="4"/>
    <col min="6399" max="6399" width="3" style="4" customWidth="1"/>
    <col min="6400" max="6400" width="7.83203125" style="4" customWidth="1"/>
    <col min="6401" max="6401" width="14.5" style="4" customWidth="1"/>
    <col min="6402" max="6402" width="11" style="4" customWidth="1"/>
    <col min="6403" max="6403" width="10.75" style="4" customWidth="1"/>
    <col min="6404" max="6404" width="9.75" style="4" customWidth="1"/>
    <col min="6405" max="6405" width="3.83203125" style="4" customWidth="1"/>
    <col min="6406" max="6435" width="3.5" style="4" customWidth="1"/>
    <col min="6436" max="6436" width="6" style="4" bestFit="1" customWidth="1"/>
    <col min="6437" max="6437" width="6.25" style="4" customWidth="1"/>
    <col min="6438" max="6438" width="4.75" style="4" customWidth="1"/>
    <col min="6439" max="6440" width="4.75" style="4" bestFit="1" customWidth="1"/>
    <col min="6441" max="6443" width="4.58203125" style="4" customWidth="1"/>
    <col min="6444" max="6445" width="4.58203125" style="4" bestFit="1" customWidth="1"/>
    <col min="6446" max="6446" width="4.58203125" style="4" customWidth="1"/>
    <col min="6447" max="6447" width="4.58203125" style="4" bestFit="1" customWidth="1"/>
    <col min="6448" max="6654" width="8.6640625" style="4"/>
    <col min="6655" max="6655" width="3" style="4" customWidth="1"/>
    <col min="6656" max="6656" width="7.83203125" style="4" customWidth="1"/>
    <col min="6657" max="6657" width="14.5" style="4" customWidth="1"/>
    <col min="6658" max="6658" width="11" style="4" customWidth="1"/>
    <col min="6659" max="6659" width="10.75" style="4" customWidth="1"/>
    <col min="6660" max="6660" width="9.75" style="4" customWidth="1"/>
    <col min="6661" max="6661" width="3.83203125" style="4" customWidth="1"/>
    <col min="6662" max="6691" width="3.5" style="4" customWidth="1"/>
    <col min="6692" max="6692" width="6" style="4" bestFit="1" customWidth="1"/>
    <col min="6693" max="6693" width="6.25" style="4" customWidth="1"/>
    <col min="6694" max="6694" width="4.75" style="4" customWidth="1"/>
    <col min="6695" max="6696" width="4.75" style="4" bestFit="1" customWidth="1"/>
    <col min="6697" max="6699" width="4.58203125" style="4" customWidth="1"/>
    <col min="6700" max="6701" width="4.58203125" style="4" bestFit="1" customWidth="1"/>
    <col min="6702" max="6702" width="4.58203125" style="4" customWidth="1"/>
    <col min="6703" max="6703" width="4.58203125" style="4" bestFit="1" customWidth="1"/>
    <col min="6704" max="6910" width="8.6640625" style="4"/>
    <col min="6911" max="6911" width="3" style="4" customWidth="1"/>
    <col min="6912" max="6912" width="7.83203125" style="4" customWidth="1"/>
    <col min="6913" max="6913" width="14.5" style="4" customWidth="1"/>
    <col min="6914" max="6914" width="11" style="4" customWidth="1"/>
    <col min="6915" max="6915" width="10.75" style="4" customWidth="1"/>
    <col min="6916" max="6916" width="9.75" style="4" customWidth="1"/>
    <col min="6917" max="6917" width="3.83203125" style="4" customWidth="1"/>
    <col min="6918" max="6947" width="3.5" style="4" customWidth="1"/>
    <col min="6948" max="6948" width="6" style="4" bestFit="1" customWidth="1"/>
    <col min="6949" max="6949" width="6.25" style="4" customWidth="1"/>
    <col min="6950" max="6950" width="4.75" style="4" customWidth="1"/>
    <col min="6951" max="6952" width="4.75" style="4" bestFit="1" customWidth="1"/>
    <col min="6953" max="6955" width="4.58203125" style="4" customWidth="1"/>
    <col min="6956" max="6957" width="4.58203125" style="4" bestFit="1" customWidth="1"/>
    <col min="6958" max="6958" width="4.58203125" style="4" customWidth="1"/>
    <col min="6959" max="6959" width="4.58203125" style="4" bestFit="1" customWidth="1"/>
    <col min="6960" max="7166" width="8.6640625" style="4"/>
    <col min="7167" max="7167" width="3" style="4" customWidth="1"/>
    <col min="7168" max="7168" width="7.83203125" style="4" customWidth="1"/>
    <col min="7169" max="7169" width="14.5" style="4" customWidth="1"/>
    <col min="7170" max="7170" width="11" style="4" customWidth="1"/>
    <col min="7171" max="7171" width="10.75" style="4" customWidth="1"/>
    <col min="7172" max="7172" width="9.75" style="4" customWidth="1"/>
    <col min="7173" max="7173" width="3.83203125" style="4" customWidth="1"/>
    <col min="7174" max="7203" width="3.5" style="4" customWidth="1"/>
    <col min="7204" max="7204" width="6" style="4" bestFit="1" customWidth="1"/>
    <col min="7205" max="7205" width="6.25" style="4" customWidth="1"/>
    <col min="7206" max="7206" width="4.75" style="4" customWidth="1"/>
    <col min="7207" max="7208" width="4.75" style="4" bestFit="1" customWidth="1"/>
    <col min="7209" max="7211" width="4.58203125" style="4" customWidth="1"/>
    <col min="7212" max="7213" width="4.58203125" style="4" bestFit="1" customWidth="1"/>
    <col min="7214" max="7214" width="4.58203125" style="4" customWidth="1"/>
    <col min="7215" max="7215" width="4.58203125" style="4" bestFit="1" customWidth="1"/>
    <col min="7216" max="7422" width="8.6640625" style="4"/>
    <col min="7423" max="7423" width="3" style="4" customWidth="1"/>
    <col min="7424" max="7424" width="7.83203125" style="4" customWidth="1"/>
    <col min="7425" max="7425" width="14.5" style="4" customWidth="1"/>
    <col min="7426" max="7426" width="11" style="4" customWidth="1"/>
    <col min="7427" max="7427" width="10.75" style="4" customWidth="1"/>
    <col min="7428" max="7428" width="9.75" style="4" customWidth="1"/>
    <col min="7429" max="7429" width="3.83203125" style="4" customWidth="1"/>
    <col min="7430" max="7459" width="3.5" style="4" customWidth="1"/>
    <col min="7460" max="7460" width="6" style="4" bestFit="1" customWidth="1"/>
    <col min="7461" max="7461" width="6.25" style="4" customWidth="1"/>
    <col min="7462" max="7462" width="4.75" style="4" customWidth="1"/>
    <col min="7463" max="7464" width="4.75" style="4" bestFit="1" customWidth="1"/>
    <col min="7465" max="7467" width="4.58203125" style="4" customWidth="1"/>
    <col min="7468" max="7469" width="4.58203125" style="4" bestFit="1" customWidth="1"/>
    <col min="7470" max="7470" width="4.58203125" style="4" customWidth="1"/>
    <col min="7471" max="7471" width="4.58203125" style="4" bestFit="1" customWidth="1"/>
    <col min="7472" max="7678" width="8.6640625" style="4"/>
    <col min="7679" max="7679" width="3" style="4" customWidth="1"/>
    <col min="7680" max="7680" width="7.83203125" style="4" customWidth="1"/>
    <col min="7681" max="7681" width="14.5" style="4" customWidth="1"/>
    <col min="7682" max="7682" width="11" style="4" customWidth="1"/>
    <col min="7683" max="7683" width="10.75" style="4" customWidth="1"/>
    <col min="7684" max="7684" width="9.75" style="4" customWidth="1"/>
    <col min="7685" max="7685" width="3.83203125" style="4" customWidth="1"/>
    <col min="7686" max="7715" width="3.5" style="4" customWidth="1"/>
    <col min="7716" max="7716" width="6" style="4" bestFit="1" customWidth="1"/>
    <col min="7717" max="7717" width="6.25" style="4" customWidth="1"/>
    <col min="7718" max="7718" width="4.75" style="4" customWidth="1"/>
    <col min="7719" max="7720" width="4.75" style="4" bestFit="1" customWidth="1"/>
    <col min="7721" max="7723" width="4.58203125" style="4" customWidth="1"/>
    <col min="7724" max="7725" width="4.58203125" style="4" bestFit="1" customWidth="1"/>
    <col min="7726" max="7726" width="4.58203125" style="4" customWidth="1"/>
    <col min="7727" max="7727" width="4.58203125" style="4" bestFit="1" customWidth="1"/>
    <col min="7728" max="7934" width="8.6640625" style="4"/>
    <col min="7935" max="7935" width="3" style="4" customWidth="1"/>
    <col min="7936" max="7936" width="7.83203125" style="4" customWidth="1"/>
    <col min="7937" max="7937" width="14.5" style="4" customWidth="1"/>
    <col min="7938" max="7938" width="11" style="4" customWidth="1"/>
    <col min="7939" max="7939" width="10.75" style="4" customWidth="1"/>
    <col min="7940" max="7940" width="9.75" style="4" customWidth="1"/>
    <col min="7941" max="7941" width="3.83203125" style="4" customWidth="1"/>
    <col min="7942" max="7971" width="3.5" style="4" customWidth="1"/>
    <col min="7972" max="7972" width="6" style="4" bestFit="1" customWidth="1"/>
    <col min="7973" max="7973" width="6.25" style="4" customWidth="1"/>
    <col min="7974" max="7974" width="4.75" style="4" customWidth="1"/>
    <col min="7975" max="7976" width="4.75" style="4" bestFit="1" customWidth="1"/>
    <col min="7977" max="7979" width="4.58203125" style="4" customWidth="1"/>
    <col min="7980" max="7981" width="4.58203125" style="4" bestFit="1" customWidth="1"/>
    <col min="7982" max="7982" width="4.58203125" style="4" customWidth="1"/>
    <col min="7983" max="7983" width="4.58203125" style="4" bestFit="1" customWidth="1"/>
    <col min="7984" max="8190" width="8.6640625" style="4"/>
    <col min="8191" max="8191" width="3" style="4" customWidth="1"/>
    <col min="8192" max="8192" width="7.83203125" style="4" customWidth="1"/>
    <col min="8193" max="8193" width="14.5" style="4" customWidth="1"/>
    <col min="8194" max="8194" width="11" style="4" customWidth="1"/>
    <col min="8195" max="8195" width="10.75" style="4" customWidth="1"/>
    <col min="8196" max="8196" width="9.75" style="4" customWidth="1"/>
    <col min="8197" max="8197" width="3.83203125" style="4" customWidth="1"/>
    <col min="8198" max="8227" width="3.5" style="4" customWidth="1"/>
    <col min="8228" max="8228" width="6" style="4" bestFit="1" customWidth="1"/>
    <col min="8229" max="8229" width="6.25" style="4" customWidth="1"/>
    <col min="8230" max="8230" width="4.75" style="4" customWidth="1"/>
    <col min="8231" max="8232" width="4.75" style="4" bestFit="1" customWidth="1"/>
    <col min="8233" max="8235" width="4.58203125" style="4" customWidth="1"/>
    <col min="8236" max="8237" width="4.58203125" style="4" bestFit="1" customWidth="1"/>
    <col min="8238" max="8238" width="4.58203125" style="4" customWidth="1"/>
    <col min="8239" max="8239" width="4.58203125" style="4" bestFit="1" customWidth="1"/>
    <col min="8240" max="8446" width="8.6640625" style="4"/>
    <col min="8447" max="8447" width="3" style="4" customWidth="1"/>
    <col min="8448" max="8448" width="7.83203125" style="4" customWidth="1"/>
    <col min="8449" max="8449" width="14.5" style="4" customWidth="1"/>
    <col min="8450" max="8450" width="11" style="4" customWidth="1"/>
    <col min="8451" max="8451" width="10.75" style="4" customWidth="1"/>
    <col min="8452" max="8452" width="9.75" style="4" customWidth="1"/>
    <col min="8453" max="8453" width="3.83203125" style="4" customWidth="1"/>
    <col min="8454" max="8483" width="3.5" style="4" customWidth="1"/>
    <col min="8484" max="8484" width="6" style="4" bestFit="1" customWidth="1"/>
    <col min="8485" max="8485" width="6.25" style="4" customWidth="1"/>
    <col min="8486" max="8486" width="4.75" style="4" customWidth="1"/>
    <col min="8487" max="8488" width="4.75" style="4" bestFit="1" customWidth="1"/>
    <col min="8489" max="8491" width="4.58203125" style="4" customWidth="1"/>
    <col min="8492" max="8493" width="4.58203125" style="4" bestFit="1" customWidth="1"/>
    <col min="8494" max="8494" width="4.58203125" style="4" customWidth="1"/>
    <col min="8495" max="8495" width="4.58203125" style="4" bestFit="1" customWidth="1"/>
    <col min="8496" max="8702" width="8.6640625" style="4"/>
    <col min="8703" max="8703" width="3" style="4" customWidth="1"/>
    <col min="8704" max="8704" width="7.83203125" style="4" customWidth="1"/>
    <col min="8705" max="8705" width="14.5" style="4" customWidth="1"/>
    <col min="8706" max="8706" width="11" style="4" customWidth="1"/>
    <col min="8707" max="8707" width="10.75" style="4" customWidth="1"/>
    <col min="8708" max="8708" width="9.75" style="4" customWidth="1"/>
    <col min="8709" max="8709" width="3.83203125" style="4" customWidth="1"/>
    <col min="8710" max="8739" width="3.5" style="4" customWidth="1"/>
    <col min="8740" max="8740" width="6" style="4" bestFit="1" customWidth="1"/>
    <col min="8741" max="8741" width="6.25" style="4" customWidth="1"/>
    <col min="8742" max="8742" width="4.75" style="4" customWidth="1"/>
    <col min="8743" max="8744" width="4.75" style="4" bestFit="1" customWidth="1"/>
    <col min="8745" max="8747" width="4.58203125" style="4" customWidth="1"/>
    <col min="8748" max="8749" width="4.58203125" style="4" bestFit="1" customWidth="1"/>
    <col min="8750" max="8750" width="4.58203125" style="4" customWidth="1"/>
    <col min="8751" max="8751" width="4.58203125" style="4" bestFit="1" customWidth="1"/>
    <col min="8752" max="8958" width="8.6640625" style="4"/>
    <col min="8959" max="8959" width="3" style="4" customWidth="1"/>
    <col min="8960" max="8960" width="7.83203125" style="4" customWidth="1"/>
    <col min="8961" max="8961" width="14.5" style="4" customWidth="1"/>
    <col min="8962" max="8962" width="11" style="4" customWidth="1"/>
    <col min="8963" max="8963" width="10.75" style="4" customWidth="1"/>
    <col min="8964" max="8964" width="9.75" style="4" customWidth="1"/>
    <col min="8965" max="8965" width="3.83203125" style="4" customWidth="1"/>
    <col min="8966" max="8995" width="3.5" style="4" customWidth="1"/>
    <col min="8996" max="8996" width="6" style="4" bestFit="1" customWidth="1"/>
    <col min="8997" max="8997" width="6.25" style="4" customWidth="1"/>
    <col min="8998" max="8998" width="4.75" style="4" customWidth="1"/>
    <col min="8999" max="9000" width="4.75" style="4" bestFit="1" customWidth="1"/>
    <col min="9001" max="9003" width="4.58203125" style="4" customWidth="1"/>
    <col min="9004" max="9005" width="4.58203125" style="4" bestFit="1" customWidth="1"/>
    <col min="9006" max="9006" width="4.58203125" style="4" customWidth="1"/>
    <col min="9007" max="9007" width="4.58203125" style="4" bestFit="1" customWidth="1"/>
    <col min="9008" max="9214" width="8.6640625" style="4"/>
    <col min="9215" max="9215" width="3" style="4" customWidth="1"/>
    <col min="9216" max="9216" width="7.83203125" style="4" customWidth="1"/>
    <col min="9217" max="9217" width="14.5" style="4" customWidth="1"/>
    <col min="9218" max="9218" width="11" style="4" customWidth="1"/>
    <col min="9219" max="9219" width="10.75" style="4" customWidth="1"/>
    <col min="9220" max="9220" width="9.75" style="4" customWidth="1"/>
    <col min="9221" max="9221" width="3.83203125" style="4" customWidth="1"/>
    <col min="9222" max="9251" width="3.5" style="4" customWidth="1"/>
    <col min="9252" max="9252" width="6" style="4" bestFit="1" customWidth="1"/>
    <col min="9253" max="9253" width="6.25" style="4" customWidth="1"/>
    <col min="9254" max="9254" width="4.75" style="4" customWidth="1"/>
    <col min="9255" max="9256" width="4.75" style="4" bestFit="1" customWidth="1"/>
    <col min="9257" max="9259" width="4.58203125" style="4" customWidth="1"/>
    <col min="9260" max="9261" width="4.58203125" style="4" bestFit="1" customWidth="1"/>
    <col min="9262" max="9262" width="4.58203125" style="4" customWidth="1"/>
    <col min="9263" max="9263" width="4.58203125" style="4" bestFit="1" customWidth="1"/>
    <col min="9264" max="9470" width="8.6640625" style="4"/>
    <col min="9471" max="9471" width="3" style="4" customWidth="1"/>
    <col min="9472" max="9472" width="7.83203125" style="4" customWidth="1"/>
    <col min="9473" max="9473" width="14.5" style="4" customWidth="1"/>
    <col min="9474" max="9474" width="11" style="4" customWidth="1"/>
    <col min="9475" max="9475" width="10.75" style="4" customWidth="1"/>
    <col min="9476" max="9476" width="9.75" style="4" customWidth="1"/>
    <col min="9477" max="9477" width="3.83203125" style="4" customWidth="1"/>
    <col min="9478" max="9507" width="3.5" style="4" customWidth="1"/>
    <col min="9508" max="9508" width="6" style="4" bestFit="1" customWidth="1"/>
    <col min="9509" max="9509" width="6.25" style="4" customWidth="1"/>
    <col min="9510" max="9510" width="4.75" style="4" customWidth="1"/>
    <col min="9511" max="9512" width="4.75" style="4" bestFit="1" customWidth="1"/>
    <col min="9513" max="9515" width="4.58203125" style="4" customWidth="1"/>
    <col min="9516" max="9517" width="4.58203125" style="4" bestFit="1" customWidth="1"/>
    <col min="9518" max="9518" width="4.58203125" style="4" customWidth="1"/>
    <col min="9519" max="9519" width="4.58203125" style="4" bestFit="1" customWidth="1"/>
    <col min="9520" max="9726" width="8.6640625" style="4"/>
    <col min="9727" max="9727" width="3" style="4" customWidth="1"/>
    <col min="9728" max="9728" width="7.83203125" style="4" customWidth="1"/>
    <col min="9729" max="9729" width="14.5" style="4" customWidth="1"/>
    <col min="9730" max="9730" width="11" style="4" customWidth="1"/>
    <col min="9731" max="9731" width="10.75" style="4" customWidth="1"/>
    <col min="9732" max="9732" width="9.75" style="4" customWidth="1"/>
    <col min="9733" max="9733" width="3.83203125" style="4" customWidth="1"/>
    <col min="9734" max="9763" width="3.5" style="4" customWidth="1"/>
    <col min="9764" max="9764" width="6" style="4" bestFit="1" customWidth="1"/>
    <col min="9765" max="9765" width="6.25" style="4" customWidth="1"/>
    <col min="9766" max="9766" width="4.75" style="4" customWidth="1"/>
    <col min="9767" max="9768" width="4.75" style="4" bestFit="1" customWidth="1"/>
    <col min="9769" max="9771" width="4.58203125" style="4" customWidth="1"/>
    <col min="9772" max="9773" width="4.58203125" style="4" bestFit="1" customWidth="1"/>
    <col min="9774" max="9774" width="4.58203125" style="4" customWidth="1"/>
    <col min="9775" max="9775" width="4.58203125" style="4" bestFit="1" customWidth="1"/>
    <col min="9776" max="9982" width="8.6640625" style="4"/>
    <col min="9983" max="9983" width="3" style="4" customWidth="1"/>
    <col min="9984" max="9984" width="7.83203125" style="4" customWidth="1"/>
    <col min="9985" max="9985" width="14.5" style="4" customWidth="1"/>
    <col min="9986" max="9986" width="11" style="4" customWidth="1"/>
    <col min="9987" max="9987" width="10.75" style="4" customWidth="1"/>
    <col min="9988" max="9988" width="9.75" style="4" customWidth="1"/>
    <col min="9989" max="9989" width="3.83203125" style="4" customWidth="1"/>
    <col min="9990" max="10019" width="3.5" style="4" customWidth="1"/>
    <col min="10020" max="10020" width="6" style="4" bestFit="1" customWidth="1"/>
    <col min="10021" max="10021" width="6.25" style="4" customWidth="1"/>
    <col min="10022" max="10022" width="4.75" style="4" customWidth="1"/>
    <col min="10023" max="10024" width="4.75" style="4" bestFit="1" customWidth="1"/>
    <col min="10025" max="10027" width="4.58203125" style="4" customWidth="1"/>
    <col min="10028" max="10029" width="4.58203125" style="4" bestFit="1" customWidth="1"/>
    <col min="10030" max="10030" width="4.58203125" style="4" customWidth="1"/>
    <col min="10031" max="10031" width="4.58203125" style="4" bestFit="1" customWidth="1"/>
    <col min="10032" max="10238" width="8.6640625" style="4"/>
    <col min="10239" max="10239" width="3" style="4" customWidth="1"/>
    <col min="10240" max="10240" width="7.83203125" style="4" customWidth="1"/>
    <col min="10241" max="10241" width="14.5" style="4" customWidth="1"/>
    <col min="10242" max="10242" width="11" style="4" customWidth="1"/>
    <col min="10243" max="10243" width="10.75" style="4" customWidth="1"/>
    <col min="10244" max="10244" width="9.75" style="4" customWidth="1"/>
    <col min="10245" max="10245" width="3.83203125" style="4" customWidth="1"/>
    <col min="10246" max="10275" width="3.5" style="4" customWidth="1"/>
    <col min="10276" max="10276" width="6" style="4" bestFit="1" customWidth="1"/>
    <col min="10277" max="10277" width="6.25" style="4" customWidth="1"/>
    <col min="10278" max="10278" width="4.75" style="4" customWidth="1"/>
    <col min="10279" max="10280" width="4.75" style="4" bestFit="1" customWidth="1"/>
    <col min="10281" max="10283" width="4.58203125" style="4" customWidth="1"/>
    <col min="10284" max="10285" width="4.58203125" style="4" bestFit="1" customWidth="1"/>
    <col min="10286" max="10286" width="4.58203125" style="4" customWidth="1"/>
    <col min="10287" max="10287" width="4.58203125" style="4" bestFit="1" customWidth="1"/>
    <col min="10288" max="10494" width="8.6640625" style="4"/>
    <col min="10495" max="10495" width="3" style="4" customWidth="1"/>
    <col min="10496" max="10496" width="7.83203125" style="4" customWidth="1"/>
    <col min="10497" max="10497" width="14.5" style="4" customWidth="1"/>
    <col min="10498" max="10498" width="11" style="4" customWidth="1"/>
    <col min="10499" max="10499" width="10.75" style="4" customWidth="1"/>
    <col min="10500" max="10500" width="9.75" style="4" customWidth="1"/>
    <col min="10501" max="10501" width="3.83203125" style="4" customWidth="1"/>
    <col min="10502" max="10531" width="3.5" style="4" customWidth="1"/>
    <col min="10532" max="10532" width="6" style="4" bestFit="1" customWidth="1"/>
    <col min="10533" max="10533" width="6.25" style="4" customWidth="1"/>
    <col min="10534" max="10534" width="4.75" style="4" customWidth="1"/>
    <col min="10535" max="10536" width="4.75" style="4" bestFit="1" customWidth="1"/>
    <col min="10537" max="10539" width="4.58203125" style="4" customWidth="1"/>
    <col min="10540" max="10541" width="4.58203125" style="4" bestFit="1" customWidth="1"/>
    <col min="10542" max="10542" width="4.58203125" style="4" customWidth="1"/>
    <col min="10543" max="10543" width="4.58203125" style="4" bestFit="1" customWidth="1"/>
    <col min="10544" max="10750" width="8.6640625" style="4"/>
    <col min="10751" max="10751" width="3" style="4" customWidth="1"/>
    <col min="10752" max="10752" width="7.83203125" style="4" customWidth="1"/>
    <col min="10753" max="10753" width="14.5" style="4" customWidth="1"/>
    <col min="10754" max="10754" width="11" style="4" customWidth="1"/>
    <col min="10755" max="10755" width="10.75" style="4" customWidth="1"/>
    <col min="10756" max="10756" width="9.75" style="4" customWidth="1"/>
    <col min="10757" max="10757" width="3.83203125" style="4" customWidth="1"/>
    <col min="10758" max="10787" width="3.5" style="4" customWidth="1"/>
    <col min="10788" max="10788" width="6" style="4" bestFit="1" customWidth="1"/>
    <col min="10789" max="10789" width="6.25" style="4" customWidth="1"/>
    <col min="10790" max="10790" width="4.75" style="4" customWidth="1"/>
    <col min="10791" max="10792" width="4.75" style="4" bestFit="1" customWidth="1"/>
    <col min="10793" max="10795" width="4.58203125" style="4" customWidth="1"/>
    <col min="10796" max="10797" width="4.58203125" style="4" bestFit="1" customWidth="1"/>
    <col min="10798" max="10798" width="4.58203125" style="4" customWidth="1"/>
    <col min="10799" max="10799" width="4.58203125" style="4" bestFit="1" customWidth="1"/>
    <col min="10800" max="11006" width="8.6640625" style="4"/>
    <col min="11007" max="11007" width="3" style="4" customWidth="1"/>
    <col min="11008" max="11008" width="7.83203125" style="4" customWidth="1"/>
    <col min="11009" max="11009" width="14.5" style="4" customWidth="1"/>
    <col min="11010" max="11010" width="11" style="4" customWidth="1"/>
    <col min="11011" max="11011" width="10.75" style="4" customWidth="1"/>
    <col min="11012" max="11012" width="9.75" style="4" customWidth="1"/>
    <col min="11013" max="11013" width="3.83203125" style="4" customWidth="1"/>
    <col min="11014" max="11043" width="3.5" style="4" customWidth="1"/>
    <col min="11044" max="11044" width="6" style="4" bestFit="1" customWidth="1"/>
    <col min="11045" max="11045" width="6.25" style="4" customWidth="1"/>
    <col min="11046" max="11046" width="4.75" style="4" customWidth="1"/>
    <col min="11047" max="11048" width="4.75" style="4" bestFit="1" customWidth="1"/>
    <col min="11049" max="11051" width="4.58203125" style="4" customWidth="1"/>
    <col min="11052" max="11053" width="4.58203125" style="4" bestFit="1" customWidth="1"/>
    <col min="11054" max="11054" width="4.58203125" style="4" customWidth="1"/>
    <col min="11055" max="11055" width="4.58203125" style="4" bestFit="1" customWidth="1"/>
    <col min="11056" max="11262" width="8.6640625" style="4"/>
    <col min="11263" max="11263" width="3" style="4" customWidth="1"/>
    <col min="11264" max="11264" width="7.83203125" style="4" customWidth="1"/>
    <col min="11265" max="11265" width="14.5" style="4" customWidth="1"/>
    <col min="11266" max="11266" width="11" style="4" customWidth="1"/>
    <col min="11267" max="11267" width="10.75" style="4" customWidth="1"/>
    <col min="11268" max="11268" width="9.75" style="4" customWidth="1"/>
    <col min="11269" max="11269" width="3.83203125" style="4" customWidth="1"/>
    <col min="11270" max="11299" width="3.5" style="4" customWidth="1"/>
    <col min="11300" max="11300" width="6" style="4" bestFit="1" customWidth="1"/>
    <col min="11301" max="11301" width="6.25" style="4" customWidth="1"/>
    <col min="11302" max="11302" width="4.75" style="4" customWidth="1"/>
    <col min="11303" max="11304" width="4.75" style="4" bestFit="1" customWidth="1"/>
    <col min="11305" max="11307" width="4.58203125" style="4" customWidth="1"/>
    <col min="11308" max="11309" width="4.58203125" style="4" bestFit="1" customWidth="1"/>
    <col min="11310" max="11310" width="4.58203125" style="4" customWidth="1"/>
    <col min="11311" max="11311" width="4.58203125" style="4" bestFit="1" customWidth="1"/>
    <col min="11312" max="11518" width="8.6640625" style="4"/>
    <col min="11519" max="11519" width="3" style="4" customWidth="1"/>
    <col min="11520" max="11520" width="7.83203125" style="4" customWidth="1"/>
    <col min="11521" max="11521" width="14.5" style="4" customWidth="1"/>
    <col min="11522" max="11522" width="11" style="4" customWidth="1"/>
    <col min="11523" max="11523" width="10.75" style="4" customWidth="1"/>
    <col min="11524" max="11524" width="9.75" style="4" customWidth="1"/>
    <col min="11525" max="11525" width="3.83203125" style="4" customWidth="1"/>
    <col min="11526" max="11555" width="3.5" style="4" customWidth="1"/>
    <col min="11556" max="11556" width="6" style="4" bestFit="1" customWidth="1"/>
    <col min="11557" max="11557" width="6.25" style="4" customWidth="1"/>
    <col min="11558" max="11558" width="4.75" style="4" customWidth="1"/>
    <col min="11559" max="11560" width="4.75" style="4" bestFit="1" customWidth="1"/>
    <col min="11561" max="11563" width="4.58203125" style="4" customWidth="1"/>
    <col min="11564" max="11565" width="4.58203125" style="4" bestFit="1" customWidth="1"/>
    <col min="11566" max="11566" width="4.58203125" style="4" customWidth="1"/>
    <col min="11567" max="11567" width="4.58203125" style="4" bestFit="1" customWidth="1"/>
    <col min="11568" max="11774" width="8.6640625" style="4"/>
    <col min="11775" max="11775" width="3" style="4" customWidth="1"/>
    <col min="11776" max="11776" width="7.83203125" style="4" customWidth="1"/>
    <col min="11777" max="11777" width="14.5" style="4" customWidth="1"/>
    <col min="11778" max="11778" width="11" style="4" customWidth="1"/>
    <col min="11779" max="11779" width="10.75" style="4" customWidth="1"/>
    <col min="11780" max="11780" width="9.75" style="4" customWidth="1"/>
    <col min="11781" max="11781" width="3.83203125" style="4" customWidth="1"/>
    <col min="11782" max="11811" width="3.5" style="4" customWidth="1"/>
    <col min="11812" max="11812" width="6" style="4" bestFit="1" customWidth="1"/>
    <col min="11813" max="11813" width="6.25" style="4" customWidth="1"/>
    <col min="11814" max="11814" width="4.75" style="4" customWidth="1"/>
    <col min="11815" max="11816" width="4.75" style="4" bestFit="1" customWidth="1"/>
    <col min="11817" max="11819" width="4.58203125" style="4" customWidth="1"/>
    <col min="11820" max="11821" width="4.58203125" style="4" bestFit="1" customWidth="1"/>
    <col min="11822" max="11822" width="4.58203125" style="4" customWidth="1"/>
    <col min="11823" max="11823" width="4.58203125" style="4" bestFit="1" customWidth="1"/>
    <col min="11824" max="12030" width="8.6640625" style="4"/>
    <col min="12031" max="12031" width="3" style="4" customWidth="1"/>
    <col min="12032" max="12032" width="7.83203125" style="4" customWidth="1"/>
    <col min="12033" max="12033" width="14.5" style="4" customWidth="1"/>
    <col min="12034" max="12034" width="11" style="4" customWidth="1"/>
    <col min="12035" max="12035" width="10.75" style="4" customWidth="1"/>
    <col min="12036" max="12036" width="9.75" style="4" customWidth="1"/>
    <col min="12037" max="12037" width="3.83203125" style="4" customWidth="1"/>
    <col min="12038" max="12067" width="3.5" style="4" customWidth="1"/>
    <col min="12068" max="12068" width="6" style="4" bestFit="1" customWidth="1"/>
    <col min="12069" max="12069" width="6.25" style="4" customWidth="1"/>
    <col min="12070" max="12070" width="4.75" style="4" customWidth="1"/>
    <col min="12071" max="12072" width="4.75" style="4" bestFit="1" customWidth="1"/>
    <col min="12073" max="12075" width="4.58203125" style="4" customWidth="1"/>
    <col min="12076" max="12077" width="4.58203125" style="4" bestFit="1" customWidth="1"/>
    <col min="12078" max="12078" width="4.58203125" style="4" customWidth="1"/>
    <col min="12079" max="12079" width="4.58203125" style="4" bestFit="1" customWidth="1"/>
    <col min="12080" max="12286" width="8.6640625" style="4"/>
    <col min="12287" max="12287" width="3" style="4" customWidth="1"/>
    <col min="12288" max="12288" width="7.83203125" style="4" customWidth="1"/>
    <col min="12289" max="12289" width="14.5" style="4" customWidth="1"/>
    <col min="12290" max="12290" width="11" style="4" customWidth="1"/>
    <col min="12291" max="12291" width="10.75" style="4" customWidth="1"/>
    <col min="12292" max="12292" width="9.75" style="4" customWidth="1"/>
    <col min="12293" max="12293" width="3.83203125" style="4" customWidth="1"/>
    <col min="12294" max="12323" width="3.5" style="4" customWidth="1"/>
    <col min="12324" max="12324" width="6" style="4" bestFit="1" customWidth="1"/>
    <col min="12325" max="12325" width="6.25" style="4" customWidth="1"/>
    <col min="12326" max="12326" width="4.75" style="4" customWidth="1"/>
    <col min="12327" max="12328" width="4.75" style="4" bestFit="1" customWidth="1"/>
    <col min="12329" max="12331" width="4.58203125" style="4" customWidth="1"/>
    <col min="12332" max="12333" width="4.58203125" style="4" bestFit="1" customWidth="1"/>
    <col min="12334" max="12334" width="4.58203125" style="4" customWidth="1"/>
    <col min="12335" max="12335" width="4.58203125" style="4" bestFit="1" customWidth="1"/>
    <col min="12336" max="12542" width="8.6640625" style="4"/>
    <col min="12543" max="12543" width="3" style="4" customWidth="1"/>
    <col min="12544" max="12544" width="7.83203125" style="4" customWidth="1"/>
    <col min="12545" max="12545" width="14.5" style="4" customWidth="1"/>
    <col min="12546" max="12546" width="11" style="4" customWidth="1"/>
    <col min="12547" max="12547" width="10.75" style="4" customWidth="1"/>
    <col min="12548" max="12548" width="9.75" style="4" customWidth="1"/>
    <col min="12549" max="12549" width="3.83203125" style="4" customWidth="1"/>
    <col min="12550" max="12579" width="3.5" style="4" customWidth="1"/>
    <col min="12580" max="12580" width="6" style="4" bestFit="1" customWidth="1"/>
    <col min="12581" max="12581" width="6.25" style="4" customWidth="1"/>
    <col min="12582" max="12582" width="4.75" style="4" customWidth="1"/>
    <col min="12583" max="12584" width="4.75" style="4" bestFit="1" customWidth="1"/>
    <col min="12585" max="12587" width="4.58203125" style="4" customWidth="1"/>
    <col min="12588" max="12589" width="4.58203125" style="4" bestFit="1" customWidth="1"/>
    <col min="12590" max="12590" width="4.58203125" style="4" customWidth="1"/>
    <col min="12591" max="12591" width="4.58203125" style="4" bestFit="1" customWidth="1"/>
    <col min="12592" max="12798" width="8.6640625" style="4"/>
    <col min="12799" max="12799" width="3" style="4" customWidth="1"/>
    <col min="12800" max="12800" width="7.83203125" style="4" customWidth="1"/>
    <col min="12801" max="12801" width="14.5" style="4" customWidth="1"/>
    <col min="12802" max="12802" width="11" style="4" customWidth="1"/>
    <col min="12803" max="12803" width="10.75" style="4" customWidth="1"/>
    <col min="12804" max="12804" width="9.75" style="4" customWidth="1"/>
    <col min="12805" max="12805" width="3.83203125" style="4" customWidth="1"/>
    <col min="12806" max="12835" width="3.5" style="4" customWidth="1"/>
    <col min="12836" max="12836" width="6" style="4" bestFit="1" customWidth="1"/>
    <col min="12837" max="12837" width="6.25" style="4" customWidth="1"/>
    <col min="12838" max="12838" width="4.75" style="4" customWidth="1"/>
    <col min="12839" max="12840" width="4.75" style="4" bestFit="1" customWidth="1"/>
    <col min="12841" max="12843" width="4.58203125" style="4" customWidth="1"/>
    <col min="12844" max="12845" width="4.58203125" style="4" bestFit="1" customWidth="1"/>
    <col min="12846" max="12846" width="4.58203125" style="4" customWidth="1"/>
    <col min="12847" max="12847" width="4.58203125" style="4" bestFit="1" customWidth="1"/>
    <col min="12848" max="13054" width="8.6640625" style="4"/>
    <col min="13055" max="13055" width="3" style="4" customWidth="1"/>
    <col min="13056" max="13056" width="7.83203125" style="4" customWidth="1"/>
    <col min="13057" max="13057" width="14.5" style="4" customWidth="1"/>
    <col min="13058" max="13058" width="11" style="4" customWidth="1"/>
    <col min="13059" max="13059" width="10.75" style="4" customWidth="1"/>
    <col min="13060" max="13060" width="9.75" style="4" customWidth="1"/>
    <col min="13061" max="13061" width="3.83203125" style="4" customWidth="1"/>
    <col min="13062" max="13091" width="3.5" style="4" customWidth="1"/>
    <col min="13092" max="13092" width="6" style="4" bestFit="1" customWidth="1"/>
    <col min="13093" max="13093" width="6.25" style="4" customWidth="1"/>
    <col min="13094" max="13094" width="4.75" style="4" customWidth="1"/>
    <col min="13095" max="13096" width="4.75" style="4" bestFit="1" customWidth="1"/>
    <col min="13097" max="13099" width="4.58203125" style="4" customWidth="1"/>
    <col min="13100" max="13101" width="4.58203125" style="4" bestFit="1" customWidth="1"/>
    <col min="13102" max="13102" width="4.58203125" style="4" customWidth="1"/>
    <col min="13103" max="13103" width="4.58203125" style="4" bestFit="1" customWidth="1"/>
    <col min="13104" max="13310" width="8.6640625" style="4"/>
    <col min="13311" max="13311" width="3" style="4" customWidth="1"/>
    <col min="13312" max="13312" width="7.83203125" style="4" customWidth="1"/>
    <col min="13313" max="13313" width="14.5" style="4" customWidth="1"/>
    <col min="13314" max="13314" width="11" style="4" customWidth="1"/>
    <col min="13315" max="13315" width="10.75" style="4" customWidth="1"/>
    <col min="13316" max="13316" width="9.75" style="4" customWidth="1"/>
    <col min="13317" max="13317" width="3.83203125" style="4" customWidth="1"/>
    <col min="13318" max="13347" width="3.5" style="4" customWidth="1"/>
    <col min="13348" max="13348" width="6" style="4" bestFit="1" customWidth="1"/>
    <col min="13349" max="13349" width="6.25" style="4" customWidth="1"/>
    <col min="13350" max="13350" width="4.75" style="4" customWidth="1"/>
    <col min="13351" max="13352" width="4.75" style="4" bestFit="1" customWidth="1"/>
    <col min="13353" max="13355" width="4.58203125" style="4" customWidth="1"/>
    <col min="13356" max="13357" width="4.58203125" style="4" bestFit="1" customWidth="1"/>
    <col min="13358" max="13358" width="4.58203125" style="4" customWidth="1"/>
    <col min="13359" max="13359" width="4.58203125" style="4" bestFit="1" customWidth="1"/>
    <col min="13360" max="13566" width="8.6640625" style="4"/>
    <col min="13567" max="13567" width="3" style="4" customWidth="1"/>
    <col min="13568" max="13568" width="7.83203125" style="4" customWidth="1"/>
    <col min="13569" max="13569" width="14.5" style="4" customWidth="1"/>
    <col min="13570" max="13570" width="11" style="4" customWidth="1"/>
    <col min="13571" max="13571" width="10.75" style="4" customWidth="1"/>
    <col min="13572" max="13572" width="9.75" style="4" customWidth="1"/>
    <col min="13573" max="13573" width="3.83203125" style="4" customWidth="1"/>
    <col min="13574" max="13603" width="3.5" style="4" customWidth="1"/>
    <col min="13604" max="13604" width="6" style="4" bestFit="1" customWidth="1"/>
    <col min="13605" max="13605" width="6.25" style="4" customWidth="1"/>
    <col min="13606" max="13606" width="4.75" style="4" customWidth="1"/>
    <col min="13607" max="13608" width="4.75" style="4" bestFit="1" customWidth="1"/>
    <col min="13609" max="13611" width="4.58203125" style="4" customWidth="1"/>
    <col min="13612" max="13613" width="4.58203125" style="4" bestFit="1" customWidth="1"/>
    <col min="13614" max="13614" width="4.58203125" style="4" customWidth="1"/>
    <col min="13615" max="13615" width="4.58203125" style="4" bestFit="1" customWidth="1"/>
    <col min="13616" max="13822" width="8.6640625" style="4"/>
    <col min="13823" max="13823" width="3" style="4" customWidth="1"/>
    <col min="13824" max="13824" width="7.83203125" style="4" customWidth="1"/>
    <col min="13825" max="13825" width="14.5" style="4" customWidth="1"/>
    <col min="13826" max="13826" width="11" style="4" customWidth="1"/>
    <col min="13827" max="13827" width="10.75" style="4" customWidth="1"/>
    <col min="13828" max="13828" width="9.75" style="4" customWidth="1"/>
    <col min="13829" max="13829" width="3.83203125" style="4" customWidth="1"/>
    <col min="13830" max="13859" width="3.5" style="4" customWidth="1"/>
    <col min="13860" max="13860" width="6" style="4" bestFit="1" customWidth="1"/>
    <col min="13861" max="13861" width="6.25" style="4" customWidth="1"/>
    <col min="13862" max="13862" width="4.75" style="4" customWidth="1"/>
    <col min="13863" max="13864" width="4.75" style="4" bestFit="1" customWidth="1"/>
    <col min="13865" max="13867" width="4.58203125" style="4" customWidth="1"/>
    <col min="13868" max="13869" width="4.58203125" style="4" bestFit="1" customWidth="1"/>
    <col min="13870" max="13870" width="4.58203125" style="4" customWidth="1"/>
    <col min="13871" max="13871" width="4.58203125" style="4" bestFit="1" customWidth="1"/>
    <col min="13872" max="14078" width="8.6640625" style="4"/>
    <col min="14079" max="14079" width="3" style="4" customWidth="1"/>
    <col min="14080" max="14080" width="7.83203125" style="4" customWidth="1"/>
    <col min="14081" max="14081" width="14.5" style="4" customWidth="1"/>
    <col min="14082" max="14082" width="11" style="4" customWidth="1"/>
    <col min="14083" max="14083" width="10.75" style="4" customWidth="1"/>
    <col min="14084" max="14084" width="9.75" style="4" customWidth="1"/>
    <col min="14085" max="14085" width="3.83203125" style="4" customWidth="1"/>
    <col min="14086" max="14115" width="3.5" style="4" customWidth="1"/>
    <col min="14116" max="14116" width="6" style="4" bestFit="1" customWidth="1"/>
    <col min="14117" max="14117" width="6.25" style="4" customWidth="1"/>
    <col min="14118" max="14118" width="4.75" style="4" customWidth="1"/>
    <col min="14119" max="14120" width="4.75" style="4" bestFit="1" customWidth="1"/>
    <col min="14121" max="14123" width="4.58203125" style="4" customWidth="1"/>
    <col min="14124" max="14125" width="4.58203125" style="4" bestFit="1" customWidth="1"/>
    <col min="14126" max="14126" width="4.58203125" style="4" customWidth="1"/>
    <col min="14127" max="14127" width="4.58203125" style="4" bestFit="1" customWidth="1"/>
    <col min="14128" max="14334" width="8.6640625" style="4"/>
    <col min="14335" max="14335" width="3" style="4" customWidth="1"/>
    <col min="14336" max="14336" width="7.83203125" style="4" customWidth="1"/>
    <col min="14337" max="14337" width="14.5" style="4" customWidth="1"/>
    <col min="14338" max="14338" width="11" style="4" customWidth="1"/>
    <col min="14339" max="14339" width="10.75" style="4" customWidth="1"/>
    <col min="14340" max="14340" width="9.75" style="4" customWidth="1"/>
    <col min="14341" max="14341" width="3.83203125" style="4" customWidth="1"/>
    <col min="14342" max="14371" width="3.5" style="4" customWidth="1"/>
    <col min="14372" max="14372" width="6" style="4" bestFit="1" customWidth="1"/>
    <col min="14373" max="14373" width="6.25" style="4" customWidth="1"/>
    <col min="14374" max="14374" width="4.75" style="4" customWidth="1"/>
    <col min="14375" max="14376" width="4.75" style="4" bestFit="1" customWidth="1"/>
    <col min="14377" max="14379" width="4.58203125" style="4" customWidth="1"/>
    <col min="14380" max="14381" width="4.58203125" style="4" bestFit="1" customWidth="1"/>
    <col min="14382" max="14382" width="4.58203125" style="4" customWidth="1"/>
    <col min="14383" max="14383" width="4.58203125" style="4" bestFit="1" customWidth="1"/>
    <col min="14384" max="14590" width="8.6640625" style="4"/>
    <col min="14591" max="14591" width="3" style="4" customWidth="1"/>
    <col min="14592" max="14592" width="7.83203125" style="4" customWidth="1"/>
    <col min="14593" max="14593" width="14.5" style="4" customWidth="1"/>
    <col min="14594" max="14594" width="11" style="4" customWidth="1"/>
    <col min="14595" max="14595" width="10.75" style="4" customWidth="1"/>
    <col min="14596" max="14596" width="9.75" style="4" customWidth="1"/>
    <col min="14597" max="14597" width="3.83203125" style="4" customWidth="1"/>
    <col min="14598" max="14627" width="3.5" style="4" customWidth="1"/>
    <col min="14628" max="14628" width="6" style="4" bestFit="1" customWidth="1"/>
    <col min="14629" max="14629" width="6.25" style="4" customWidth="1"/>
    <col min="14630" max="14630" width="4.75" style="4" customWidth="1"/>
    <col min="14631" max="14632" width="4.75" style="4" bestFit="1" customWidth="1"/>
    <col min="14633" max="14635" width="4.58203125" style="4" customWidth="1"/>
    <col min="14636" max="14637" width="4.58203125" style="4" bestFit="1" customWidth="1"/>
    <col min="14638" max="14638" width="4.58203125" style="4" customWidth="1"/>
    <col min="14639" max="14639" width="4.58203125" style="4" bestFit="1" customWidth="1"/>
    <col min="14640" max="14846" width="8.6640625" style="4"/>
    <col min="14847" max="14847" width="3" style="4" customWidth="1"/>
    <col min="14848" max="14848" width="7.83203125" style="4" customWidth="1"/>
    <col min="14849" max="14849" width="14.5" style="4" customWidth="1"/>
    <col min="14850" max="14850" width="11" style="4" customWidth="1"/>
    <col min="14851" max="14851" width="10.75" style="4" customWidth="1"/>
    <col min="14852" max="14852" width="9.75" style="4" customWidth="1"/>
    <col min="14853" max="14853" width="3.83203125" style="4" customWidth="1"/>
    <col min="14854" max="14883" width="3.5" style="4" customWidth="1"/>
    <col min="14884" max="14884" width="6" style="4" bestFit="1" customWidth="1"/>
    <col min="14885" max="14885" width="6.25" style="4" customWidth="1"/>
    <col min="14886" max="14886" width="4.75" style="4" customWidth="1"/>
    <col min="14887" max="14888" width="4.75" style="4" bestFit="1" customWidth="1"/>
    <col min="14889" max="14891" width="4.58203125" style="4" customWidth="1"/>
    <col min="14892" max="14893" width="4.58203125" style="4" bestFit="1" customWidth="1"/>
    <col min="14894" max="14894" width="4.58203125" style="4" customWidth="1"/>
    <col min="14895" max="14895" width="4.58203125" style="4" bestFit="1" customWidth="1"/>
    <col min="14896" max="15102" width="8.6640625" style="4"/>
    <col min="15103" max="15103" width="3" style="4" customWidth="1"/>
    <col min="15104" max="15104" width="7.83203125" style="4" customWidth="1"/>
    <col min="15105" max="15105" width="14.5" style="4" customWidth="1"/>
    <col min="15106" max="15106" width="11" style="4" customWidth="1"/>
    <col min="15107" max="15107" width="10.75" style="4" customWidth="1"/>
    <col min="15108" max="15108" width="9.75" style="4" customWidth="1"/>
    <col min="15109" max="15109" width="3.83203125" style="4" customWidth="1"/>
    <col min="15110" max="15139" width="3.5" style="4" customWidth="1"/>
    <col min="15140" max="15140" width="6" style="4" bestFit="1" customWidth="1"/>
    <col min="15141" max="15141" width="6.25" style="4" customWidth="1"/>
    <col min="15142" max="15142" width="4.75" style="4" customWidth="1"/>
    <col min="15143" max="15144" width="4.75" style="4" bestFit="1" customWidth="1"/>
    <col min="15145" max="15147" width="4.58203125" style="4" customWidth="1"/>
    <col min="15148" max="15149" width="4.58203125" style="4" bestFit="1" customWidth="1"/>
    <col min="15150" max="15150" width="4.58203125" style="4" customWidth="1"/>
    <col min="15151" max="15151" width="4.58203125" style="4" bestFit="1" customWidth="1"/>
    <col min="15152" max="15358" width="8.6640625" style="4"/>
    <col min="15359" max="15359" width="3" style="4" customWidth="1"/>
    <col min="15360" max="15360" width="7.83203125" style="4" customWidth="1"/>
    <col min="15361" max="15361" width="14.5" style="4" customWidth="1"/>
    <col min="15362" max="15362" width="11" style="4" customWidth="1"/>
    <col min="15363" max="15363" width="10.75" style="4" customWidth="1"/>
    <col min="15364" max="15364" width="9.75" style="4" customWidth="1"/>
    <col min="15365" max="15365" width="3.83203125" style="4" customWidth="1"/>
    <col min="15366" max="15395" width="3.5" style="4" customWidth="1"/>
    <col min="15396" max="15396" width="6" style="4" bestFit="1" customWidth="1"/>
    <col min="15397" max="15397" width="6.25" style="4" customWidth="1"/>
    <col min="15398" max="15398" width="4.75" style="4" customWidth="1"/>
    <col min="15399" max="15400" width="4.75" style="4" bestFit="1" customWidth="1"/>
    <col min="15401" max="15403" width="4.58203125" style="4" customWidth="1"/>
    <col min="15404" max="15405" width="4.58203125" style="4" bestFit="1" customWidth="1"/>
    <col min="15406" max="15406" width="4.58203125" style="4" customWidth="1"/>
    <col min="15407" max="15407" width="4.58203125" style="4" bestFit="1" customWidth="1"/>
    <col min="15408" max="15614" width="8.6640625" style="4"/>
    <col min="15615" max="15615" width="3" style="4" customWidth="1"/>
    <col min="15616" max="15616" width="7.83203125" style="4" customWidth="1"/>
    <col min="15617" max="15617" width="14.5" style="4" customWidth="1"/>
    <col min="15618" max="15618" width="11" style="4" customWidth="1"/>
    <col min="15619" max="15619" width="10.75" style="4" customWidth="1"/>
    <col min="15620" max="15620" width="9.75" style="4" customWidth="1"/>
    <col min="15621" max="15621" width="3.83203125" style="4" customWidth="1"/>
    <col min="15622" max="15651" width="3.5" style="4" customWidth="1"/>
    <col min="15652" max="15652" width="6" style="4" bestFit="1" customWidth="1"/>
    <col min="15653" max="15653" width="6.25" style="4" customWidth="1"/>
    <col min="15654" max="15654" width="4.75" style="4" customWidth="1"/>
    <col min="15655" max="15656" width="4.75" style="4" bestFit="1" customWidth="1"/>
    <col min="15657" max="15659" width="4.58203125" style="4" customWidth="1"/>
    <col min="15660" max="15661" width="4.58203125" style="4" bestFit="1" customWidth="1"/>
    <col min="15662" max="15662" width="4.58203125" style="4" customWidth="1"/>
    <col min="15663" max="15663" width="4.58203125" style="4" bestFit="1" customWidth="1"/>
    <col min="15664" max="15870" width="8.6640625" style="4"/>
    <col min="15871" max="15871" width="3" style="4" customWidth="1"/>
    <col min="15872" max="15872" width="7.83203125" style="4" customWidth="1"/>
    <col min="15873" max="15873" width="14.5" style="4" customWidth="1"/>
    <col min="15874" max="15874" width="11" style="4" customWidth="1"/>
    <col min="15875" max="15875" width="10.75" style="4" customWidth="1"/>
    <col min="15876" max="15876" width="9.75" style="4" customWidth="1"/>
    <col min="15877" max="15877" width="3.83203125" style="4" customWidth="1"/>
    <col min="15878" max="15907" width="3.5" style="4" customWidth="1"/>
    <col min="15908" max="15908" width="6" style="4" bestFit="1" customWidth="1"/>
    <col min="15909" max="15909" width="6.25" style="4" customWidth="1"/>
    <col min="15910" max="15910" width="4.75" style="4" customWidth="1"/>
    <col min="15911" max="15912" width="4.75" style="4" bestFit="1" customWidth="1"/>
    <col min="15913" max="15915" width="4.58203125" style="4" customWidth="1"/>
    <col min="15916" max="15917" width="4.58203125" style="4" bestFit="1" customWidth="1"/>
    <col min="15918" max="15918" width="4.58203125" style="4" customWidth="1"/>
    <col min="15919" max="15919" width="4.58203125" style="4" bestFit="1" customWidth="1"/>
    <col min="15920" max="16126" width="8.6640625" style="4"/>
    <col min="16127" max="16127" width="3" style="4" customWidth="1"/>
    <col min="16128" max="16128" width="7.83203125" style="4" customWidth="1"/>
    <col min="16129" max="16129" width="14.5" style="4" customWidth="1"/>
    <col min="16130" max="16130" width="11" style="4" customWidth="1"/>
    <col min="16131" max="16131" width="10.75" style="4" customWidth="1"/>
    <col min="16132" max="16132" width="9.75" style="4" customWidth="1"/>
    <col min="16133" max="16133" width="3.83203125" style="4" customWidth="1"/>
    <col min="16134" max="16163" width="3.5" style="4" customWidth="1"/>
    <col min="16164" max="16164" width="6" style="4" bestFit="1" customWidth="1"/>
    <col min="16165" max="16165" width="6.25" style="4" customWidth="1"/>
    <col min="16166" max="16166" width="4.75" style="4" customWidth="1"/>
    <col min="16167" max="16168" width="4.75" style="4" bestFit="1" customWidth="1"/>
    <col min="16169" max="16171" width="4.58203125" style="4" customWidth="1"/>
    <col min="16172" max="16173" width="4.58203125" style="4" bestFit="1" customWidth="1"/>
    <col min="16174" max="16174" width="4.58203125" style="4" customWidth="1"/>
    <col min="16175" max="16175" width="4.58203125" style="4" bestFit="1" customWidth="1"/>
    <col min="16176" max="16384" width="8.6640625" style="4"/>
  </cols>
  <sheetData>
    <row r="1" spans="1:47" s="1" customFormat="1" ht="27" customHeight="1" x14ac:dyDescent="0.45">
      <c r="A1" s="30"/>
      <c r="B1" s="77" t="s">
        <v>127</v>
      </c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P1" s="77"/>
      <c r="AQ1" s="77"/>
      <c r="AR1" s="77"/>
      <c r="AS1" s="77"/>
      <c r="AT1" s="77"/>
      <c r="AU1" s="77"/>
    </row>
    <row r="2" spans="1:47" s="2" customFormat="1" ht="12" customHeight="1" x14ac:dyDescent="0.45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</row>
    <row r="3" spans="1:47" ht="10" customHeight="1" x14ac:dyDescent="0.45">
      <c r="C3" s="5"/>
      <c r="D3" s="5"/>
      <c r="E3" s="5"/>
      <c r="F3" s="5"/>
      <c r="G3" s="5"/>
    </row>
    <row r="4" spans="1:47" ht="19.5" customHeight="1" thickBot="1" x14ac:dyDescent="0.5">
      <c r="B4" s="6" t="s">
        <v>68</v>
      </c>
      <c r="C4" s="6"/>
      <c r="D4" s="6"/>
      <c r="E4" s="6"/>
      <c r="F4" s="6"/>
      <c r="G4" s="6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8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</row>
    <row r="5" spans="1:47" s="6" customFormat="1" ht="25.5" customHeight="1" thickBot="1" x14ac:dyDescent="0.5">
      <c r="B5" s="78" t="s">
        <v>0</v>
      </c>
      <c r="C5" s="79"/>
      <c r="D5" s="47" t="s">
        <v>1</v>
      </c>
      <c r="E5" s="47" t="s">
        <v>2</v>
      </c>
      <c r="F5" s="47" t="s">
        <v>3</v>
      </c>
      <c r="G5" s="47" t="s">
        <v>4</v>
      </c>
      <c r="H5" s="47">
        <v>1</v>
      </c>
      <c r="I5" s="47">
        <v>2</v>
      </c>
      <c r="J5" s="47">
        <v>3</v>
      </c>
      <c r="K5" s="47">
        <v>4</v>
      </c>
      <c r="L5" s="47">
        <v>5</v>
      </c>
      <c r="M5" s="47">
        <v>6</v>
      </c>
      <c r="N5" s="47">
        <v>7</v>
      </c>
      <c r="O5" s="47">
        <v>8</v>
      </c>
      <c r="P5" s="47">
        <v>9</v>
      </c>
      <c r="Q5" s="47">
        <v>10</v>
      </c>
      <c r="R5" s="47">
        <v>11</v>
      </c>
      <c r="S5" s="47">
        <v>12</v>
      </c>
      <c r="T5" s="47">
        <v>13</v>
      </c>
      <c r="U5" s="47">
        <v>14</v>
      </c>
      <c r="V5" s="47">
        <v>15</v>
      </c>
      <c r="W5" s="47">
        <v>16</v>
      </c>
      <c r="X5" s="47">
        <v>17</v>
      </c>
      <c r="Y5" s="47">
        <v>18</v>
      </c>
      <c r="Z5" s="47">
        <v>19</v>
      </c>
      <c r="AA5" s="47">
        <v>20</v>
      </c>
      <c r="AB5" s="47">
        <v>21</v>
      </c>
      <c r="AC5" s="47">
        <v>22</v>
      </c>
      <c r="AD5" s="47">
        <v>23</v>
      </c>
      <c r="AE5" s="47">
        <v>24</v>
      </c>
      <c r="AF5" s="47">
        <v>25</v>
      </c>
      <c r="AG5" s="47">
        <v>26</v>
      </c>
      <c r="AH5" s="47">
        <v>27</v>
      </c>
      <c r="AI5" s="47">
        <v>28</v>
      </c>
      <c r="AJ5" s="47">
        <v>29</v>
      </c>
      <c r="AK5" s="47">
        <v>30</v>
      </c>
      <c r="AL5" s="47">
        <v>31</v>
      </c>
      <c r="AM5" s="49" t="s">
        <v>5</v>
      </c>
      <c r="AN5" s="50" t="s">
        <v>6</v>
      </c>
      <c r="AO5" s="51" t="s">
        <v>7</v>
      </c>
      <c r="AP5" s="51" t="s">
        <v>67</v>
      </c>
      <c r="AQ5" s="47" t="s">
        <v>8</v>
      </c>
      <c r="AR5" s="47" t="s">
        <v>9</v>
      </c>
      <c r="AS5" s="47" t="s">
        <v>10</v>
      </c>
      <c r="AT5" s="47" t="s">
        <v>11</v>
      </c>
      <c r="AU5" s="48" t="s">
        <v>12</v>
      </c>
    </row>
    <row r="6" spans="1:47" ht="18" customHeight="1" x14ac:dyDescent="0.45">
      <c r="A6" s="9"/>
      <c r="B6" s="18">
        <v>1</v>
      </c>
      <c r="C6" s="25" t="s">
        <v>14</v>
      </c>
      <c r="D6" s="25"/>
      <c r="E6" s="26">
        <v>2018040899</v>
      </c>
      <c r="F6" s="27">
        <v>43206</v>
      </c>
      <c r="G6" s="28"/>
      <c r="H6" s="29" t="s">
        <v>52</v>
      </c>
      <c r="I6" s="29" t="s">
        <v>52</v>
      </c>
      <c r="J6" s="29" t="s">
        <v>52</v>
      </c>
      <c r="K6" s="59" t="s">
        <v>51</v>
      </c>
      <c r="L6" s="29" t="s">
        <v>52</v>
      </c>
      <c r="M6" s="59" t="s">
        <v>51</v>
      </c>
      <c r="N6" s="59" t="s">
        <v>51</v>
      </c>
      <c r="O6" s="59" t="s">
        <v>51</v>
      </c>
      <c r="P6" s="29" t="s">
        <v>52</v>
      </c>
      <c r="Q6" s="29" t="s">
        <v>52</v>
      </c>
      <c r="R6" s="59" t="s">
        <v>51</v>
      </c>
      <c r="S6" s="59" t="s">
        <v>51</v>
      </c>
      <c r="T6" s="59" t="s">
        <v>51</v>
      </c>
      <c r="U6" s="59" t="s">
        <v>51</v>
      </c>
      <c r="V6" s="59" t="s">
        <v>51</v>
      </c>
      <c r="W6" s="29" t="s">
        <v>52</v>
      </c>
      <c r="X6" s="29" t="s">
        <v>52</v>
      </c>
      <c r="Y6" s="59" t="s">
        <v>51</v>
      </c>
      <c r="Z6" s="59" t="s">
        <v>51</v>
      </c>
      <c r="AA6" s="59" t="s">
        <v>51</v>
      </c>
      <c r="AB6" s="59" t="s">
        <v>51</v>
      </c>
      <c r="AC6" s="59" t="s">
        <v>51</v>
      </c>
      <c r="AD6" s="29" t="s">
        <v>52</v>
      </c>
      <c r="AE6" s="29" t="s">
        <v>52</v>
      </c>
      <c r="AF6" s="29" t="s">
        <v>52</v>
      </c>
      <c r="AG6" s="59" t="s">
        <v>51</v>
      </c>
      <c r="AH6" s="59" t="s">
        <v>51</v>
      </c>
      <c r="AI6" s="59" t="s">
        <v>51</v>
      </c>
      <c r="AJ6" s="59" t="s">
        <v>51</v>
      </c>
      <c r="AK6" s="29" t="s">
        <v>52</v>
      </c>
      <c r="AL6" s="29" t="s">
        <v>52</v>
      </c>
      <c r="AM6" s="31">
        <f t="shared" ref="AM6:AM35" si="0">$AL$5-(COUNTIF(H6:AL6,"퇴사")+COUNTIF(H6:AL6,"/")+COUNTIF(H6:AL6,"교육")+COUNTIF(H6:AL6,"결근"))</f>
        <v>18</v>
      </c>
      <c r="AN6" s="32">
        <f t="shared" ref="AN6:AN31" si="1">AM6/$AL$5</f>
        <v>0.58064516129032262</v>
      </c>
      <c r="AO6" s="33">
        <f t="shared" ref="AO6:AO35" si="2">COUNTIF(H6:AL6,"출근")</f>
        <v>18</v>
      </c>
      <c r="AP6" s="34">
        <f t="shared" ref="AP6:AP35" si="3">COUNTIF(H6:AL6,"재택")</f>
        <v>0</v>
      </c>
      <c r="AQ6" s="34">
        <f t="shared" ref="AQ6:AQ35" si="4">COUNTIF(H6:AL6,"연차")</f>
        <v>0</v>
      </c>
      <c r="AR6" s="34">
        <f t="shared" ref="AR6:AR35" si="5">COUNTIF(H6:AL6,"결근")</f>
        <v>0</v>
      </c>
      <c r="AS6" s="34">
        <f t="shared" ref="AS6:AS35" si="6">COUNTIF(H6:AL6,"공가")</f>
        <v>0</v>
      </c>
      <c r="AT6" s="34">
        <f t="shared" ref="AT6:AT35" si="7">COUNTIF(H6:AL6,"교육")</f>
        <v>0</v>
      </c>
      <c r="AU6" s="52">
        <f t="shared" ref="AU6:AU35" si="8">COUNTIF(H6:AL6,"지각")</f>
        <v>0</v>
      </c>
    </row>
    <row r="7" spans="1:47" s="5" customFormat="1" ht="18" customHeight="1" x14ac:dyDescent="0.45">
      <c r="B7" s="18">
        <v>2</v>
      </c>
      <c r="C7" s="10" t="s">
        <v>15</v>
      </c>
      <c r="D7" s="11"/>
      <c r="E7" s="12">
        <v>2018060317</v>
      </c>
      <c r="F7" s="13">
        <v>43255</v>
      </c>
      <c r="G7" s="23"/>
      <c r="H7" s="29" t="s">
        <v>52</v>
      </c>
      <c r="I7" s="29" t="s">
        <v>52</v>
      </c>
      <c r="J7" s="29" t="s">
        <v>52</v>
      </c>
      <c r="K7" s="15" t="s">
        <v>7</v>
      </c>
      <c r="L7" s="29" t="s">
        <v>52</v>
      </c>
      <c r="M7" s="59" t="s">
        <v>8</v>
      </c>
      <c r="N7" s="59" t="s">
        <v>51</v>
      </c>
      <c r="O7" s="59" t="s">
        <v>51</v>
      </c>
      <c r="P7" s="29" t="s">
        <v>52</v>
      </c>
      <c r="Q7" s="29" t="s">
        <v>52</v>
      </c>
      <c r="R7" s="59" t="s">
        <v>51</v>
      </c>
      <c r="S7" s="59" t="s">
        <v>51</v>
      </c>
      <c r="T7" s="59" t="s">
        <v>51</v>
      </c>
      <c r="U7" s="59" t="s">
        <v>51</v>
      </c>
      <c r="V7" s="59" t="s">
        <v>51</v>
      </c>
      <c r="W7" s="29" t="s">
        <v>52</v>
      </c>
      <c r="X7" s="29" t="s">
        <v>52</v>
      </c>
      <c r="Y7" s="59" t="s">
        <v>51</v>
      </c>
      <c r="Z7" s="15" t="s">
        <v>129</v>
      </c>
      <c r="AA7" s="59" t="s">
        <v>51</v>
      </c>
      <c r="AB7" s="15" t="s">
        <v>129</v>
      </c>
      <c r="AC7" s="15" t="s">
        <v>8</v>
      </c>
      <c r="AD7" s="29" t="s">
        <v>52</v>
      </c>
      <c r="AE7" s="29" t="s">
        <v>52</v>
      </c>
      <c r="AF7" s="29" t="s">
        <v>52</v>
      </c>
      <c r="AG7" s="15" t="s">
        <v>10</v>
      </c>
      <c r="AH7" s="15" t="s">
        <v>10</v>
      </c>
      <c r="AI7" s="15" t="s">
        <v>10</v>
      </c>
      <c r="AJ7" s="15" t="s">
        <v>10</v>
      </c>
      <c r="AK7" s="29" t="s">
        <v>52</v>
      </c>
      <c r="AL7" s="29" t="s">
        <v>52</v>
      </c>
      <c r="AM7" s="21">
        <f t="shared" si="0"/>
        <v>18</v>
      </c>
      <c r="AN7" s="22">
        <f t="shared" si="1"/>
        <v>0.58064516129032262</v>
      </c>
      <c r="AO7" s="33">
        <f t="shared" si="2"/>
        <v>10</v>
      </c>
      <c r="AP7" s="34">
        <f t="shared" si="3"/>
        <v>0</v>
      </c>
      <c r="AQ7" s="34">
        <f t="shared" si="4"/>
        <v>2</v>
      </c>
      <c r="AR7" s="34">
        <f t="shared" si="5"/>
        <v>0</v>
      </c>
      <c r="AS7" s="34">
        <f t="shared" si="6"/>
        <v>4</v>
      </c>
      <c r="AT7" s="34">
        <f t="shared" si="7"/>
        <v>0</v>
      </c>
      <c r="AU7" s="52">
        <f t="shared" si="8"/>
        <v>0</v>
      </c>
    </row>
    <row r="8" spans="1:47" ht="18" customHeight="1" x14ac:dyDescent="0.45">
      <c r="B8" s="18">
        <v>3</v>
      </c>
      <c r="C8" s="76" t="s">
        <v>16</v>
      </c>
      <c r="D8" s="11"/>
      <c r="E8" s="11">
        <v>2019060170</v>
      </c>
      <c r="F8" s="14">
        <v>43619</v>
      </c>
      <c r="G8" s="23"/>
      <c r="H8" s="29" t="s">
        <v>7</v>
      </c>
      <c r="I8" s="29" t="s">
        <v>7</v>
      </c>
      <c r="J8" s="29" t="s">
        <v>7</v>
      </c>
      <c r="K8" s="11" t="s">
        <v>128</v>
      </c>
      <c r="L8" s="29" t="s">
        <v>128</v>
      </c>
      <c r="M8" s="11" t="s">
        <v>128</v>
      </c>
      <c r="N8" s="11" t="s">
        <v>7</v>
      </c>
      <c r="O8" s="11" t="s">
        <v>7</v>
      </c>
      <c r="P8" s="29" t="s">
        <v>7</v>
      </c>
      <c r="Q8" s="29" t="s">
        <v>7</v>
      </c>
      <c r="R8" s="11" t="s">
        <v>7</v>
      </c>
      <c r="S8" s="11" t="s">
        <v>128</v>
      </c>
      <c r="T8" s="11" t="s">
        <v>128</v>
      </c>
      <c r="U8" s="15" t="s">
        <v>128</v>
      </c>
      <c r="V8" s="11" t="s">
        <v>128</v>
      </c>
      <c r="W8" s="29" t="s">
        <v>7</v>
      </c>
      <c r="X8" s="29" t="s">
        <v>7</v>
      </c>
      <c r="Y8" s="11" t="s">
        <v>7</v>
      </c>
      <c r="Z8" s="11" t="s">
        <v>8</v>
      </c>
      <c r="AA8" s="11" t="s">
        <v>8</v>
      </c>
      <c r="AB8" s="15" t="s">
        <v>128</v>
      </c>
      <c r="AC8" s="11" t="s">
        <v>128</v>
      </c>
      <c r="AD8" s="29" t="s">
        <v>52</v>
      </c>
      <c r="AE8" s="29" t="s">
        <v>7</v>
      </c>
      <c r="AF8" s="29" t="s">
        <v>7</v>
      </c>
      <c r="AG8" s="11" t="s">
        <v>7</v>
      </c>
      <c r="AH8" s="11" t="s">
        <v>7</v>
      </c>
      <c r="AI8" s="11" t="s">
        <v>8</v>
      </c>
      <c r="AJ8" s="11" t="s">
        <v>128</v>
      </c>
      <c r="AK8" s="29" t="s">
        <v>52</v>
      </c>
      <c r="AL8" s="29" t="s">
        <v>52</v>
      </c>
      <c r="AM8" s="21">
        <f t="shared" si="0"/>
        <v>18</v>
      </c>
      <c r="AN8" s="22">
        <f t="shared" si="1"/>
        <v>0.58064516129032262</v>
      </c>
      <c r="AO8" s="33">
        <f t="shared" si="2"/>
        <v>15</v>
      </c>
      <c r="AP8" s="34">
        <f t="shared" si="3"/>
        <v>0</v>
      </c>
      <c r="AQ8" s="34">
        <f t="shared" si="4"/>
        <v>3</v>
      </c>
      <c r="AR8" s="34">
        <f t="shared" si="5"/>
        <v>0</v>
      </c>
      <c r="AS8" s="34">
        <f t="shared" si="6"/>
        <v>0</v>
      </c>
      <c r="AT8" s="34">
        <f t="shared" si="7"/>
        <v>0</v>
      </c>
      <c r="AU8" s="52">
        <f t="shared" si="8"/>
        <v>0</v>
      </c>
    </row>
    <row r="9" spans="1:47" ht="18" customHeight="1" x14ac:dyDescent="0.45">
      <c r="B9" s="18">
        <v>4</v>
      </c>
      <c r="C9" s="11" t="s">
        <v>25</v>
      </c>
      <c r="D9" s="11"/>
      <c r="E9" s="11">
        <v>2021020070</v>
      </c>
      <c r="F9" s="14">
        <v>44228</v>
      </c>
      <c r="G9" s="24"/>
      <c r="H9" s="29" t="s">
        <v>52</v>
      </c>
      <c r="I9" s="29" t="s">
        <v>7</v>
      </c>
      <c r="J9" s="29" t="s">
        <v>7</v>
      </c>
      <c r="K9" s="15" t="s">
        <v>7</v>
      </c>
      <c r="L9" s="29" t="s">
        <v>7</v>
      </c>
      <c r="M9" s="15" t="s">
        <v>7</v>
      </c>
      <c r="N9" s="15" t="s">
        <v>128</v>
      </c>
      <c r="O9" s="15" t="s">
        <v>128</v>
      </c>
      <c r="P9" s="29" t="s">
        <v>52</v>
      </c>
      <c r="Q9" s="29" t="s">
        <v>52</v>
      </c>
      <c r="R9" s="15" t="s">
        <v>7</v>
      </c>
      <c r="S9" s="15" t="s">
        <v>7</v>
      </c>
      <c r="T9" s="15" t="s">
        <v>7</v>
      </c>
      <c r="U9" s="15" t="s">
        <v>7</v>
      </c>
      <c r="V9" s="15" t="s">
        <v>10</v>
      </c>
      <c r="W9" s="29" t="s">
        <v>52</v>
      </c>
      <c r="X9" s="29" t="s">
        <v>52</v>
      </c>
      <c r="Y9" s="15" t="s">
        <v>128</v>
      </c>
      <c r="Z9" s="15" t="s">
        <v>7</v>
      </c>
      <c r="AA9" s="15" t="s">
        <v>10</v>
      </c>
      <c r="AB9" s="15" t="s">
        <v>7</v>
      </c>
      <c r="AC9" s="15" t="s">
        <v>7</v>
      </c>
      <c r="AD9" s="29" t="s">
        <v>7</v>
      </c>
      <c r="AE9" s="29" t="s">
        <v>52</v>
      </c>
      <c r="AF9" s="29" t="s">
        <v>52</v>
      </c>
      <c r="AG9" s="15" t="s">
        <v>128</v>
      </c>
      <c r="AH9" s="15" t="s">
        <v>7</v>
      </c>
      <c r="AI9" s="15" t="s">
        <v>7</v>
      </c>
      <c r="AJ9" s="15" t="s">
        <v>7</v>
      </c>
      <c r="AK9" s="29" t="s">
        <v>7</v>
      </c>
      <c r="AL9" s="29" t="s">
        <v>7</v>
      </c>
      <c r="AM9" s="21">
        <f t="shared" si="0"/>
        <v>20</v>
      </c>
      <c r="AN9" s="22">
        <f t="shared" si="1"/>
        <v>0.64516129032258063</v>
      </c>
      <c r="AO9" s="33">
        <f t="shared" si="2"/>
        <v>18</v>
      </c>
      <c r="AP9" s="34">
        <f t="shared" si="3"/>
        <v>0</v>
      </c>
      <c r="AQ9" s="34">
        <f t="shared" si="4"/>
        <v>0</v>
      </c>
      <c r="AR9" s="34">
        <f t="shared" si="5"/>
        <v>0</v>
      </c>
      <c r="AS9" s="34">
        <f t="shared" si="6"/>
        <v>2</v>
      </c>
      <c r="AT9" s="34">
        <f t="shared" si="7"/>
        <v>0</v>
      </c>
      <c r="AU9" s="52">
        <f t="shared" si="8"/>
        <v>0</v>
      </c>
    </row>
    <row r="10" spans="1:47" ht="18" customHeight="1" x14ac:dyDescent="0.45">
      <c r="B10" s="18">
        <v>5</v>
      </c>
      <c r="C10" s="11" t="s">
        <v>27</v>
      </c>
      <c r="D10" s="11"/>
      <c r="E10" s="11">
        <v>2021060384</v>
      </c>
      <c r="F10" s="14">
        <v>44368</v>
      </c>
      <c r="G10" s="24"/>
      <c r="H10" s="29" t="s">
        <v>52</v>
      </c>
      <c r="I10" s="29" t="s">
        <v>52</v>
      </c>
      <c r="J10" s="29" t="s">
        <v>52</v>
      </c>
      <c r="K10" s="15" t="s">
        <v>7</v>
      </c>
      <c r="L10" s="29" t="s">
        <v>52</v>
      </c>
      <c r="M10" s="15" t="s">
        <v>7</v>
      </c>
      <c r="N10" s="15" t="s">
        <v>7</v>
      </c>
      <c r="O10" s="15" t="s">
        <v>7</v>
      </c>
      <c r="P10" s="29" t="s">
        <v>52</v>
      </c>
      <c r="Q10" s="29" t="s">
        <v>52</v>
      </c>
      <c r="R10" s="15" t="s">
        <v>7</v>
      </c>
      <c r="S10" s="15" t="s">
        <v>7</v>
      </c>
      <c r="T10" s="15" t="s">
        <v>10</v>
      </c>
      <c r="U10" s="15" t="s">
        <v>7</v>
      </c>
      <c r="V10" s="15" t="s">
        <v>7</v>
      </c>
      <c r="W10" s="29" t="s">
        <v>52</v>
      </c>
      <c r="X10" s="29" t="s">
        <v>52</v>
      </c>
      <c r="Y10" s="15" t="s">
        <v>7</v>
      </c>
      <c r="Z10" s="15" t="s">
        <v>7</v>
      </c>
      <c r="AA10" s="15" t="s">
        <v>7</v>
      </c>
      <c r="AB10" s="15" t="s">
        <v>7</v>
      </c>
      <c r="AC10" s="15" t="s">
        <v>7</v>
      </c>
      <c r="AD10" s="29" t="s">
        <v>52</v>
      </c>
      <c r="AE10" s="29" t="s">
        <v>52</v>
      </c>
      <c r="AF10" s="29" t="s">
        <v>52</v>
      </c>
      <c r="AG10" s="15" t="s">
        <v>7</v>
      </c>
      <c r="AH10" s="15" t="s">
        <v>7</v>
      </c>
      <c r="AI10" s="15" t="s">
        <v>12</v>
      </c>
      <c r="AJ10" s="15" t="s">
        <v>12</v>
      </c>
      <c r="AK10" s="29" t="s">
        <v>52</v>
      </c>
      <c r="AL10" s="29" t="s">
        <v>52</v>
      </c>
      <c r="AM10" s="21">
        <f t="shared" si="0"/>
        <v>18</v>
      </c>
      <c r="AN10" s="22">
        <f t="shared" si="1"/>
        <v>0.58064516129032262</v>
      </c>
      <c r="AO10" s="33">
        <f t="shared" si="2"/>
        <v>15</v>
      </c>
      <c r="AP10" s="34">
        <f t="shared" si="3"/>
        <v>0</v>
      </c>
      <c r="AQ10" s="34">
        <f t="shared" si="4"/>
        <v>0</v>
      </c>
      <c r="AR10" s="34">
        <f t="shared" si="5"/>
        <v>0</v>
      </c>
      <c r="AS10" s="34">
        <f t="shared" si="6"/>
        <v>1</v>
      </c>
      <c r="AT10" s="34">
        <f t="shared" si="7"/>
        <v>0</v>
      </c>
      <c r="AU10" s="52">
        <f t="shared" si="8"/>
        <v>2</v>
      </c>
    </row>
    <row r="11" spans="1:47" ht="18" customHeight="1" x14ac:dyDescent="0.45">
      <c r="B11" s="18">
        <v>6</v>
      </c>
      <c r="C11" s="11" t="s">
        <v>29</v>
      </c>
      <c r="D11" s="11"/>
      <c r="E11" s="11">
        <v>2021080462</v>
      </c>
      <c r="F11" s="14">
        <v>44431</v>
      </c>
      <c r="G11" s="24"/>
      <c r="H11" s="29" t="s">
        <v>52</v>
      </c>
      <c r="I11" s="29" t="s">
        <v>52</v>
      </c>
      <c r="J11" s="29" t="s">
        <v>52</v>
      </c>
      <c r="K11" s="15" t="s">
        <v>7</v>
      </c>
      <c r="L11" s="29" t="s">
        <v>52</v>
      </c>
      <c r="M11" s="15" t="s">
        <v>7</v>
      </c>
      <c r="N11" s="15" t="s">
        <v>7</v>
      </c>
      <c r="O11" s="15" t="s">
        <v>7</v>
      </c>
      <c r="P11" s="29" t="s">
        <v>52</v>
      </c>
      <c r="Q11" s="29" t="s">
        <v>52</v>
      </c>
      <c r="R11" s="15" t="s">
        <v>7</v>
      </c>
      <c r="S11" s="15" t="s">
        <v>7</v>
      </c>
      <c r="T11" s="15" t="s">
        <v>7</v>
      </c>
      <c r="U11" s="15" t="s">
        <v>7</v>
      </c>
      <c r="V11" s="15" t="s">
        <v>7</v>
      </c>
      <c r="W11" s="29" t="s">
        <v>52</v>
      </c>
      <c r="X11" s="29" t="s">
        <v>52</v>
      </c>
      <c r="Y11" s="15" t="s">
        <v>7</v>
      </c>
      <c r="Z11" s="15" t="s">
        <v>7</v>
      </c>
      <c r="AA11" s="15" t="s">
        <v>129</v>
      </c>
      <c r="AB11" s="15" t="s">
        <v>8</v>
      </c>
      <c r="AC11" s="15" t="s">
        <v>7</v>
      </c>
      <c r="AD11" s="29" t="s">
        <v>52</v>
      </c>
      <c r="AE11" s="29" t="s">
        <v>52</v>
      </c>
      <c r="AF11" s="29" t="s">
        <v>52</v>
      </c>
      <c r="AG11" s="15" t="s">
        <v>7</v>
      </c>
      <c r="AH11" s="15" t="s">
        <v>7</v>
      </c>
      <c r="AI11" s="15" t="s">
        <v>7</v>
      </c>
      <c r="AJ11" s="15" t="s">
        <v>7</v>
      </c>
      <c r="AK11" s="29" t="s">
        <v>52</v>
      </c>
      <c r="AL11" s="29" t="s">
        <v>52</v>
      </c>
      <c r="AM11" s="21">
        <f t="shared" si="0"/>
        <v>18</v>
      </c>
      <c r="AN11" s="22">
        <f t="shared" si="1"/>
        <v>0.58064516129032262</v>
      </c>
      <c r="AO11" s="33">
        <f t="shared" si="2"/>
        <v>16</v>
      </c>
      <c r="AP11" s="34">
        <f t="shared" si="3"/>
        <v>0</v>
      </c>
      <c r="AQ11" s="34">
        <f t="shared" si="4"/>
        <v>1</v>
      </c>
      <c r="AR11" s="34">
        <f t="shared" si="5"/>
        <v>0</v>
      </c>
      <c r="AS11" s="34">
        <f t="shared" si="6"/>
        <v>0</v>
      </c>
      <c r="AT11" s="34">
        <f t="shared" si="7"/>
        <v>0</v>
      </c>
      <c r="AU11" s="52">
        <f t="shared" si="8"/>
        <v>0</v>
      </c>
    </row>
    <row r="12" spans="1:47" ht="18" customHeight="1" x14ac:dyDescent="0.45">
      <c r="B12" s="18">
        <v>7</v>
      </c>
      <c r="C12" s="11" t="s">
        <v>31</v>
      </c>
      <c r="D12" s="11"/>
      <c r="E12" s="11">
        <v>2021100404</v>
      </c>
      <c r="F12" s="14">
        <v>44488</v>
      </c>
      <c r="G12" s="24"/>
      <c r="H12" s="29" t="s">
        <v>52</v>
      </c>
      <c r="I12" s="29" t="s">
        <v>52</v>
      </c>
      <c r="J12" s="29" t="s">
        <v>52</v>
      </c>
      <c r="K12" s="11" t="s">
        <v>7</v>
      </c>
      <c r="L12" s="29" t="s">
        <v>7</v>
      </c>
      <c r="M12" s="11" t="s">
        <v>7</v>
      </c>
      <c r="N12" s="11" t="s">
        <v>7</v>
      </c>
      <c r="O12" s="11" t="s">
        <v>7</v>
      </c>
      <c r="P12" s="29" t="s">
        <v>52</v>
      </c>
      <c r="Q12" s="29" t="s">
        <v>52</v>
      </c>
      <c r="R12" s="11" t="s">
        <v>128</v>
      </c>
      <c r="S12" s="11" t="s">
        <v>7</v>
      </c>
      <c r="T12" s="11" t="s">
        <v>7</v>
      </c>
      <c r="U12" s="11" t="s">
        <v>7</v>
      </c>
      <c r="V12" s="11" t="s">
        <v>7</v>
      </c>
      <c r="W12" s="29" t="s">
        <v>7</v>
      </c>
      <c r="X12" s="29" t="s">
        <v>52</v>
      </c>
      <c r="Y12" s="11" t="s">
        <v>128</v>
      </c>
      <c r="Z12" s="11" t="s">
        <v>128</v>
      </c>
      <c r="AA12" s="11" t="s">
        <v>128</v>
      </c>
      <c r="AB12" s="11" t="s">
        <v>7</v>
      </c>
      <c r="AC12" s="11" t="s">
        <v>7</v>
      </c>
      <c r="AD12" s="29" t="s">
        <v>7</v>
      </c>
      <c r="AE12" s="29" t="s">
        <v>7</v>
      </c>
      <c r="AF12" s="29" t="s">
        <v>7</v>
      </c>
      <c r="AG12" s="11" t="s">
        <v>128</v>
      </c>
      <c r="AH12" s="11" t="s">
        <v>128</v>
      </c>
      <c r="AI12" s="11" t="s">
        <v>128</v>
      </c>
      <c r="AJ12" s="11" t="s">
        <v>7</v>
      </c>
      <c r="AK12" s="29" t="s">
        <v>7</v>
      </c>
      <c r="AL12" s="29" t="s">
        <v>7</v>
      </c>
      <c r="AM12" s="21">
        <f t="shared" si="0"/>
        <v>18</v>
      </c>
      <c r="AN12" s="22">
        <f t="shared" si="1"/>
        <v>0.58064516129032262</v>
      </c>
      <c r="AO12" s="33">
        <f t="shared" si="2"/>
        <v>18</v>
      </c>
      <c r="AP12" s="34">
        <f t="shared" si="3"/>
        <v>0</v>
      </c>
      <c r="AQ12" s="34">
        <f t="shared" si="4"/>
        <v>0</v>
      </c>
      <c r="AR12" s="34">
        <f t="shared" si="5"/>
        <v>0</v>
      </c>
      <c r="AS12" s="34">
        <f t="shared" si="6"/>
        <v>0</v>
      </c>
      <c r="AT12" s="34">
        <f t="shared" si="7"/>
        <v>0</v>
      </c>
      <c r="AU12" s="52">
        <f t="shared" si="8"/>
        <v>0</v>
      </c>
    </row>
    <row r="13" spans="1:47" ht="18" customHeight="1" x14ac:dyDescent="0.45">
      <c r="B13" s="18">
        <v>8</v>
      </c>
      <c r="C13" s="11" t="s">
        <v>34</v>
      </c>
      <c r="D13" s="11"/>
      <c r="E13" s="11">
        <v>2022010406</v>
      </c>
      <c r="F13" s="14">
        <v>44578</v>
      </c>
      <c r="G13" s="37"/>
      <c r="H13" s="29" t="s">
        <v>8</v>
      </c>
      <c r="I13" s="29" t="s">
        <v>129</v>
      </c>
      <c r="J13" s="29" t="s">
        <v>7</v>
      </c>
      <c r="K13" s="11" t="s">
        <v>7</v>
      </c>
      <c r="L13" s="29" t="s">
        <v>7</v>
      </c>
      <c r="M13" s="11" t="s">
        <v>128</v>
      </c>
      <c r="N13" s="11" t="s">
        <v>128</v>
      </c>
      <c r="O13" s="11" t="s">
        <v>128</v>
      </c>
      <c r="P13" s="29" t="s">
        <v>7</v>
      </c>
      <c r="Q13" s="29" t="s">
        <v>7</v>
      </c>
      <c r="R13" s="11" t="s">
        <v>7</v>
      </c>
      <c r="S13" s="11" t="s">
        <v>7</v>
      </c>
      <c r="T13" s="11" t="s">
        <v>7</v>
      </c>
      <c r="U13" s="11" t="s">
        <v>128</v>
      </c>
      <c r="V13" s="11" t="s">
        <v>128</v>
      </c>
      <c r="W13" s="29" t="s">
        <v>52</v>
      </c>
      <c r="X13" s="29" t="s">
        <v>7</v>
      </c>
      <c r="Y13" s="11" t="s">
        <v>7</v>
      </c>
      <c r="Z13" s="11" t="s">
        <v>7</v>
      </c>
      <c r="AA13" s="11" t="s">
        <v>7</v>
      </c>
      <c r="AB13" s="11" t="s">
        <v>7</v>
      </c>
      <c r="AC13" s="11" t="s">
        <v>128</v>
      </c>
      <c r="AD13" s="29" t="s">
        <v>52</v>
      </c>
      <c r="AE13" s="29" t="s">
        <v>52</v>
      </c>
      <c r="AF13" s="29" t="s">
        <v>52</v>
      </c>
      <c r="AG13" s="11" t="s">
        <v>7</v>
      </c>
      <c r="AH13" s="11" t="s">
        <v>7</v>
      </c>
      <c r="AI13" s="11" t="s">
        <v>7</v>
      </c>
      <c r="AJ13" s="11" t="s">
        <v>7</v>
      </c>
      <c r="AK13" s="29" t="s">
        <v>7</v>
      </c>
      <c r="AL13" s="29" t="s">
        <v>52</v>
      </c>
      <c r="AM13" s="21">
        <f t="shared" si="0"/>
        <v>20</v>
      </c>
      <c r="AN13" s="22">
        <f t="shared" si="1"/>
        <v>0.64516129032258063</v>
      </c>
      <c r="AO13" s="33">
        <f t="shared" si="2"/>
        <v>18</v>
      </c>
      <c r="AP13" s="34">
        <f t="shared" si="3"/>
        <v>0</v>
      </c>
      <c r="AQ13" s="34">
        <f t="shared" si="4"/>
        <v>1</v>
      </c>
      <c r="AR13" s="34">
        <f t="shared" si="5"/>
        <v>0</v>
      </c>
      <c r="AS13" s="34">
        <f t="shared" si="6"/>
        <v>0</v>
      </c>
      <c r="AT13" s="34">
        <f t="shared" si="7"/>
        <v>0</v>
      </c>
      <c r="AU13" s="52">
        <f t="shared" si="8"/>
        <v>0</v>
      </c>
    </row>
    <row r="14" spans="1:47" ht="18" customHeight="1" x14ac:dyDescent="0.45">
      <c r="B14" s="18">
        <v>9</v>
      </c>
      <c r="C14" s="11" t="s">
        <v>33</v>
      </c>
      <c r="D14" s="11"/>
      <c r="E14" s="11">
        <v>2022010407</v>
      </c>
      <c r="F14" s="14">
        <v>44578</v>
      </c>
      <c r="G14" s="37"/>
      <c r="H14" s="29" t="s">
        <v>52</v>
      </c>
      <c r="I14" s="29" t="s">
        <v>52</v>
      </c>
      <c r="J14" s="29" t="s">
        <v>52</v>
      </c>
      <c r="K14" s="15" t="s">
        <v>50</v>
      </c>
      <c r="L14" s="29" t="s">
        <v>52</v>
      </c>
      <c r="M14" s="59" t="s">
        <v>51</v>
      </c>
      <c r="N14" s="59" t="s">
        <v>51</v>
      </c>
      <c r="O14" s="59" t="s">
        <v>51</v>
      </c>
      <c r="P14" s="29" t="s">
        <v>52</v>
      </c>
      <c r="Q14" s="29" t="s">
        <v>52</v>
      </c>
      <c r="R14" s="59" t="s">
        <v>51</v>
      </c>
      <c r="S14" s="59" t="s">
        <v>51</v>
      </c>
      <c r="T14" s="15" t="s">
        <v>10</v>
      </c>
      <c r="U14" s="59" t="s">
        <v>51</v>
      </c>
      <c r="V14" s="59" t="s">
        <v>51</v>
      </c>
      <c r="W14" s="29" t="s">
        <v>52</v>
      </c>
      <c r="X14" s="29" t="s">
        <v>52</v>
      </c>
      <c r="Y14" s="59" t="s">
        <v>51</v>
      </c>
      <c r="Z14" s="59" t="s">
        <v>51</v>
      </c>
      <c r="AA14" s="59" t="s">
        <v>51</v>
      </c>
      <c r="AB14" s="59" t="s">
        <v>51</v>
      </c>
      <c r="AC14" s="59" t="s">
        <v>51</v>
      </c>
      <c r="AD14" s="29" t="s">
        <v>52</v>
      </c>
      <c r="AE14" s="29" t="s">
        <v>52</v>
      </c>
      <c r="AF14" s="29" t="s">
        <v>52</v>
      </c>
      <c r="AG14" s="59" t="s">
        <v>51</v>
      </c>
      <c r="AH14" s="59" t="s">
        <v>51</v>
      </c>
      <c r="AI14" s="59" t="s">
        <v>51</v>
      </c>
      <c r="AJ14" s="59" t="s">
        <v>51</v>
      </c>
      <c r="AK14" s="29" t="s">
        <v>52</v>
      </c>
      <c r="AL14" s="29" t="s">
        <v>52</v>
      </c>
      <c r="AM14" s="21">
        <f t="shared" si="0"/>
        <v>18</v>
      </c>
      <c r="AN14" s="22">
        <f t="shared" si="1"/>
        <v>0.58064516129032262</v>
      </c>
      <c r="AO14" s="33">
        <f t="shared" si="2"/>
        <v>16</v>
      </c>
      <c r="AP14" s="34">
        <f t="shared" si="3"/>
        <v>0</v>
      </c>
      <c r="AQ14" s="34">
        <f t="shared" si="4"/>
        <v>1</v>
      </c>
      <c r="AR14" s="34">
        <f t="shared" si="5"/>
        <v>0</v>
      </c>
      <c r="AS14" s="34">
        <f t="shared" si="6"/>
        <v>1</v>
      </c>
      <c r="AT14" s="34">
        <f t="shared" si="7"/>
        <v>0</v>
      </c>
      <c r="AU14" s="52">
        <f t="shared" si="8"/>
        <v>0</v>
      </c>
    </row>
    <row r="15" spans="1:47" ht="18" customHeight="1" x14ac:dyDescent="0.45">
      <c r="B15" s="18">
        <v>10</v>
      </c>
      <c r="C15" s="11" t="s">
        <v>47</v>
      </c>
      <c r="D15" s="11"/>
      <c r="E15" s="16">
        <v>2023010491</v>
      </c>
      <c r="F15" s="14">
        <v>44942</v>
      </c>
      <c r="G15" s="38"/>
      <c r="H15" s="29" t="s">
        <v>52</v>
      </c>
      <c r="I15" s="29" t="s">
        <v>52</v>
      </c>
      <c r="J15" s="29" t="s">
        <v>52</v>
      </c>
      <c r="K15" s="11" t="s">
        <v>8</v>
      </c>
      <c r="L15" s="29" t="s">
        <v>8</v>
      </c>
      <c r="M15" s="11" t="s">
        <v>7</v>
      </c>
      <c r="N15" s="11" t="s">
        <v>7</v>
      </c>
      <c r="O15" s="11" t="s">
        <v>7</v>
      </c>
      <c r="P15" s="29" t="s">
        <v>52</v>
      </c>
      <c r="Q15" s="29" t="s">
        <v>52</v>
      </c>
      <c r="R15" s="11" t="s">
        <v>128</v>
      </c>
      <c r="S15" s="11" t="s">
        <v>7</v>
      </c>
      <c r="T15" s="11" t="s">
        <v>7</v>
      </c>
      <c r="U15" s="11" t="s">
        <v>7</v>
      </c>
      <c r="V15" s="11" t="s">
        <v>7</v>
      </c>
      <c r="W15" s="29" t="s">
        <v>7</v>
      </c>
      <c r="X15" s="29" t="s">
        <v>52</v>
      </c>
      <c r="Y15" s="11" t="s">
        <v>128</v>
      </c>
      <c r="Z15" s="11" t="s">
        <v>128</v>
      </c>
      <c r="AA15" s="11" t="s">
        <v>128</v>
      </c>
      <c r="AB15" s="11" t="s">
        <v>7</v>
      </c>
      <c r="AC15" s="11" t="s">
        <v>7</v>
      </c>
      <c r="AD15" s="29" t="s">
        <v>7</v>
      </c>
      <c r="AE15" s="29" t="s">
        <v>7</v>
      </c>
      <c r="AF15" s="29" t="s">
        <v>7</v>
      </c>
      <c r="AG15" s="11" t="s">
        <v>128</v>
      </c>
      <c r="AH15" s="11" t="s">
        <v>128</v>
      </c>
      <c r="AI15" s="11" t="s">
        <v>128</v>
      </c>
      <c r="AJ15" s="11" t="s">
        <v>7</v>
      </c>
      <c r="AK15" s="29" t="s">
        <v>7</v>
      </c>
      <c r="AL15" s="29" t="s">
        <v>7</v>
      </c>
      <c r="AM15" s="21">
        <f t="shared" si="0"/>
        <v>18</v>
      </c>
      <c r="AN15" s="22">
        <f t="shared" si="1"/>
        <v>0.58064516129032262</v>
      </c>
      <c r="AO15" s="33">
        <f t="shared" si="2"/>
        <v>16</v>
      </c>
      <c r="AP15" s="34">
        <f t="shared" si="3"/>
        <v>0</v>
      </c>
      <c r="AQ15" s="34">
        <f t="shared" si="4"/>
        <v>2</v>
      </c>
      <c r="AR15" s="34">
        <f t="shared" si="5"/>
        <v>0</v>
      </c>
      <c r="AS15" s="34">
        <f t="shared" si="6"/>
        <v>0</v>
      </c>
      <c r="AT15" s="34">
        <f t="shared" si="7"/>
        <v>0</v>
      </c>
      <c r="AU15" s="52">
        <f t="shared" si="8"/>
        <v>0</v>
      </c>
    </row>
    <row r="16" spans="1:47" ht="18" customHeight="1" x14ac:dyDescent="0.45">
      <c r="B16" s="18">
        <v>11</v>
      </c>
      <c r="C16" s="11" t="s">
        <v>54</v>
      </c>
      <c r="D16" s="11"/>
      <c r="E16" s="11">
        <v>2024030563</v>
      </c>
      <c r="F16" s="14">
        <v>45376</v>
      </c>
      <c r="G16" s="38"/>
      <c r="H16" s="29" t="s">
        <v>7</v>
      </c>
      <c r="I16" s="29" t="s">
        <v>7</v>
      </c>
      <c r="J16" s="29" t="s">
        <v>7</v>
      </c>
      <c r="K16" s="11" t="s">
        <v>128</v>
      </c>
      <c r="L16" s="29" t="s">
        <v>128</v>
      </c>
      <c r="M16" s="11" t="s">
        <v>128</v>
      </c>
      <c r="N16" s="11" t="s">
        <v>7</v>
      </c>
      <c r="O16" s="11" t="s">
        <v>7</v>
      </c>
      <c r="P16" s="29" t="s">
        <v>7</v>
      </c>
      <c r="Q16" s="29" t="s">
        <v>7</v>
      </c>
      <c r="R16" s="11" t="s">
        <v>7</v>
      </c>
      <c r="S16" s="11" t="s">
        <v>128</v>
      </c>
      <c r="T16" s="11" t="s">
        <v>128</v>
      </c>
      <c r="U16" s="15" t="s">
        <v>128</v>
      </c>
      <c r="V16" s="11" t="s">
        <v>128</v>
      </c>
      <c r="W16" s="29" t="s">
        <v>7</v>
      </c>
      <c r="X16" s="29" t="s">
        <v>7</v>
      </c>
      <c r="Y16" s="11" t="s">
        <v>7</v>
      </c>
      <c r="Z16" s="11" t="s">
        <v>7</v>
      </c>
      <c r="AA16" s="11" t="s">
        <v>7</v>
      </c>
      <c r="AB16" s="15" t="s">
        <v>128</v>
      </c>
      <c r="AC16" s="11" t="s">
        <v>128</v>
      </c>
      <c r="AD16" s="29" t="s">
        <v>52</v>
      </c>
      <c r="AE16" s="29" t="s">
        <v>8</v>
      </c>
      <c r="AF16" s="29" t="s">
        <v>7</v>
      </c>
      <c r="AG16" s="11" t="s">
        <v>12</v>
      </c>
      <c r="AH16" s="11" t="s">
        <v>12</v>
      </c>
      <c r="AI16" s="11" t="s">
        <v>12</v>
      </c>
      <c r="AJ16" s="11" t="s">
        <v>128</v>
      </c>
      <c r="AK16" s="29" t="s">
        <v>52</v>
      </c>
      <c r="AL16" s="29" t="s">
        <v>52</v>
      </c>
      <c r="AM16" s="21">
        <f t="shared" si="0"/>
        <v>18</v>
      </c>
      <c r="AN16" s="22">
        <f t="shared" si="1"/>
        <v>0.58064516129032262</v>
      </c>
      <c r="AO16" s="33">
        <f t="shared" si="2"/>
        <v>14</v>
      </c>
      <c r="AP16" s="34">
        <f t="shared" si="3"/>
        <v>0</v>
      </c>
      <c r="AQ16" s="34">
        <f t="shared" si="4"/>
        <v>1</v>
      </c>
      <c r="AR16" s="34">
        <f t="shared" si="5"/>
        <v>0</v>
      </c>
      <c r="AS16" s="34">
        <f t="shared" si="6"/>
        <v>0</v>
      </c>
      <c r="AT16" s="34">
        <f t="shared" si="7"/>
        <v>0</v>
      </c>
      <c r="AU16" s="52">
        <f t="shared" si="8"/>
        <v>3</v>
      </c>
    </row>
    <row r="17" spans="2:47" ht="18" customHeight="1" x14ac:dyDescent="0.45">
      <c r="B17" s="18">
        <v>12</v>
      </c>
      <c r="C17" s="11" t="s">
        <v>56</v>
      </c>
      <c r="D17" s="11"/>
      <c r="E17" s="11">
        <v>2024030565</v>
      </c>
      <c r="F17" s="14">
        <v>45376</v>
      </c>
      <c r="G17" s="38"/>
      <c r="H17" s="29" t="s">
        <v>7</v>
      </c>
      <c r="I17" s="29" t="s">
        <v>7</v>
      </c>
      <c r="J17" s="29" t="s">
        <v>7</v>
      </c>
      <c r="K17" s="11" t="s">
        <v>7</v>
      </c>
      <c r="L17" s="29" t="s">
        <v>7</v>
      </c>
      <c r="M17" s="11" t="s">
        <v>128</v>
      </c>
      <c r="N17" s="11" t="s">
        <v>128</v>
      </c>
      <c r="O17" s="11" t="s">
        <v>128</v>
      </c>
      <c r="P17" s="29" t="s">
        <v>7</v>
      </c>
      <c r="Q17" s="29" t="s">
        <v>7</v>
      </c>
      <c r="R17" s="11" t="s">
        <v>7</v>
      </c>
      <c r="S17" s="11" t="s">
        <v>7</v>
      </c>
      <c r="T17" s="11" t="s">
        <v>8</v>
      </c>
      <c r="U17" s="11" t="s">
        <v>128</v>
      </c>
      <c r="V17" s="11" t="s">
        <v>128</v>
      </c>
      <c r="W17" s="29" t="s">
        <v>52</v>
      </c>
      <c r="X17" s="29" t="s">
        <v>7</v>
      </c>
      <c r="Y17" s="11" t="s">
        <v>7</v>
      </c>
      <c r="Z17" s="11" t="s">
        <v>7</v>
      </c>
      <c r="AA17" s="11" t="s">
        <v>7</v>
      </c>
      <c r="AB17" s="11" t="s">
        <v>7</v>
      </c>
      <c r="AC17" s="11" t="s">
        <v>128</v>
      </c>
      <c r="AD17" s="29" t="s">
        <v>52</v>
      </c>
      <c r="AE17" s="29" t="s">
        <v>52</v>
      </c>
      <c r="AF17" s="29" t="s">
        <v>52</v>
      </c>
      <c r="AG17" s="11" t="s">
        <v>7</v>
      </c>
      <c r="AH17" s="11" t="s">
        <v>7</v>
      </c>
      <c r="AI17" s="11" t="s">
        <v>7</v>
      </c>
      <c r="AJ17" s="11" t="s">
        <v>7</v>
      </c>
      <c r="AK17" s="29" t="s">
        <v>7</v>
      </c>
      <c r="AL17" s="29" t="s">
        <v>52</v>
      </c>
      <c r="AM17" s="21">
        <f t="shared" si="0"/>
        <v>20</v>
      </c>
      <c r="AN17" s="22">
        <f t="shared" si="1"/>
        <v>0.64516129032258063</v>
      </c>
      <c r="AO17" s="33">
        <f t="shared" si="2"/>
        <v>19</v>
      </c>
      <c r="AP17" s="34">
        <f t="shared" si="3"/>
        <v>0</v>
      </c>
      <c r="AQ17" s="34">
        <f t="shared" si="4"/>
        <v>1</v>
      </c>
      <c r="AR17" s="34">
        <f t="shared" si="5"/>
        <v>0</v>
      </c>
      <c r="AS17" s="34">
        <f t="shared" si="6"/>
        <v>0</v>
      </c>
      <c r="AT17" s="34">
        <f t="shared" si="7"/>
        <v>0</v>
      </c>
      <c r="AU17" s="52">
        <f t="shared" si="8"/>
        <v>0</v>
      </c>
    </row>
    <row r="18" spans="2:47" ht="18" customHeight="1" x14ac:dyDescent="0.45">
      <c r="B18" s="18">
        <v>13</v>
      </c>
      <c r="C18" s="11" t="s">
        <v>59</v>
      </c>
      <c r="D18" s="11"/>
      <c r="E18" s="11">
        <v>2024090033</v>
      </c>
      <c r="F18" s="14">
        <v>45537</v>
      </c>
      <c r="G18" s="38"/>
      <c r="H18" s="29" t="s">
        <v>7</v>
      </c>
      <c r="I18" s="29" t="s">
        <v>7</v>
      </c>
      <c r="J18" s="29" t="s">
        <v>7</v>
      </c>
      <c r="K18" s="11" t="s">
        <v>10</v>
      </c>
      <c r="L18" s="29" t="s">
        <v>8</v>
      </c>
      <c r="M18" s="11" t="s">
        <v>128</v>
      </c>
      <c r="N18" s="11" t="s">
        <v>128</v>
      </c>
      <c r="O18" s="11" t="s">
        <v>128</v>
      </c>
      <c r="P18" s="29" t="s">
        <v>7</v>
      </c>
      <c r="Q18" s="29" t="s">
        <v>7</v>
      </c>
      <c r="R18" s="11" t="s">
        <v>7</v>
      </c>
      <c r="S18" s="11" t="s">
        <v>7</v>
      </c>
      <c r="T18" s="11" t="s">
        <v>7</v>
      </c>
      <c r="U18" s="11" t="s">
        <v>128</v>
      </c>
      <c r="V18" s="11" t="s">
        <v>128</v>
      </c>
      <c r="W18" s="29" t="s">
        <v>52</v>
      </c>
      <c r="X18" s="29" t="s">
        <v>7</v>
      </c>
      <c r="Y18" s="11" t="s">
        <v>7</v>
      </c>
      <c r="Z18" s="11" t="s">
        <v>7</v>
      </c>
      <c r="AA18" s="11" t="s">
        <v>7</v>
      </c>
      <c r="AB18" s="11" t="s">
        <v>7</v>
      </c>
      <c r="AC18" s="11" t="s">
        <v>128</v>
      </c>
      <c r="AD18" s="29" t="s">
        <v>52</v>
      </c>
      <c r="AE18" s="29" t="s">
        <v>52</v>
      </c>
      <c r="AF18" s="29" t="s">
        <v>52</v>
      </c>
      <c r="AG18" s="11" t="s">
        <v>7</v>
      </c>
      <c r="AH18" s="11" t="s">
        <v>7</v>
      </c>
      <c r="AI18" s="11" t="s">
        <v>7</v>
      </c>
      <c r="AJ18" s="11" t="s">
        <v>8</v>
      </c>
      <c r="AK18" s="29" t="s">
        <v>8</v>
      </c>
      <c r="AL18" s="29" t="s">
        <v>52</v>
      </c>
      <c r="AM18" s="21">
        <f t="shared" si="0"/>
        <v>20</v>
      </c>
      <c r="AN18" s="22">
        <f t="shared" si="1"/>
        <v>0.64516129032258063</v>
      </c>
      <c r="AO18" s="33">
        <f t="shared" si="2"/>
        <v>16</v>
      </c>
      <c r="AP18" s="34">
        <f t="shared" si="3"/>
        <v>0</v>
      </c>
      <c r="AQ18" s="34">
        <f t="shared" si="4"/>
        <v>3</v>
      </c>
      <c r="AR18" s="34">
        <f t="shared" si="5"/>
        <v>0</v>
      </c>
      <c r="AS18" s="34">
        <f t="shared" si="6"/>
        <v>1</v>
      </c>
      <c r="AT18" s="34">
        <f t="shared" si="7"/>
        <v>0</v>
      </c>
      <c r="AU18" s="52">
        <f t="shared" si="8"/>
        <v>0</v>
      </c>
    </row>
    <row r="19" spans="2:47" ht="18" customHeight="1" x14ac:dyDescent="0.45">
      <c r="B19" s="18">
        <v>14</v>
      </c>
      <c r="C19" s="11" t="s">
        <v>45</v>
      </c>
      <c r="D19" s="11"/>
      <c r="E19" s="11">
        <v>2024120167</v>
      </c>
      <c r="F19" s="14">
        <v>45635</v>
      </c>
      <c r="G19" s="38"/>
      <c r="H19" s="29" t="s">
        <v>7</v>
      </c>
      <c r="I19" s="29" t="s">
        <v>52</v>
      </c>
      <c r="J19" s="29" t="s">
        <v>52</v>
      </c>
      <c r="K19" s="11" t="s">
        <v>128</v>
      </c>
      <c r="L19" s="29" t="s">
        <v>52</v>
      </c>
      <c r="M19" s="11" t="s">
        <v>8</v>
      </c>
      <c r="N19" s="11" t="s">
        <v>7</v>
      </c>
      <c r="O19" s="11" t="s">
        <v>7</v>
      </c>
      <c r="P19" s="29" t="s">
        <v>7</v>
      </c>
      <c r="Q19" s="29" t="s">
        <v>7</v>
      </c>
      <c r="R19" s="11" t="s">
        <v>128</v>
      </c>
      <c r="S19" s="11" t="s">
        <v>128</v>
      </c>
      <c r="T19" s="11" t="s">
        <v>128</v>
      </c>
      <c r="U19" s="11" t="s">
        <v>7</v>
      </c>
      <c r="V19" s="11" t="s">
        <v>7</v>
      </c>
      <c r="W19" s="29" t="s">
        <v>7</v>
      </c>
      <c r="X19" s="29" t="s">
        <v>7</v>
      </c>
      <c r="Y19" s="11" t="s">
        <v>8</v>
      </c>
      <c r="Z19" s="11" t="s">
        <v>128</v>
      </c>
      <c r="AA19" s="11" t="s">
        <v>128</v>
      </c>
      <c r="AB19" s="11" t="s">
        <v>128</v>
      </c>
      <c r="AC19" s="11" t="s">
        <v>7</v>
      </c>
      <c r="AD19" s="29" t="s">
        <v>7</v>
      </c>
      <c r="AE19" s="29" t="s">
        <v>7</v>
      </c>
      <c r="AF19" s="29" t="s">
        <v>7</v>
      </c>
      <c r="AG19" s="11" t="s">
        <v>7</v>
      </c>
      <c r="AH19" s="11" t="s">
        <v>128</v>
      </c>
      <c r="AI19" s="11" t="s">
        <v>128</v>
      </c>
      <c r="AJ19" s="11" t="s">
        <v>128</v>
      </c>
      <c r="AK19" s="29" t="s">
        <v>52</v>
      </c>
      <c r="AL19" s="29" t="s">
        <v>7</v>
      </c>
      <c r="AM19" s="21">
        <f t="shared" si="0"/>
        <v>17</v>
      </c>
      <c r="AN19" s="22">
        <f t="shared" si="1"/>
        <v>0.54838709677419351</v>
      </c>
      <c r="AO19" s="33">
        <f t="shared" si="2"/>
        <v>15</v>
      </c>
      <c r="AP19" s="34">
        <f t="shared" si="3"/>
        <v>0</v>
      </c>
      <c r="AQ19" s="34">
        <f t="shared" si="4"/>
        <v>2</v>
      </c>
      <c r="AR19" s="34">
        <f t="shared" si="5"/>
        <v>0</v>
      </c>
      <c r="AS19" s="34">
        <f t="shared" si="6"/>
        <v>0</v>
      </c>
      <c r="AT19" s="34">
        <f t="shared" si="7"/>
        <v>0</v>
      </c>
      <c r="AU19" s="52">
        <f t="shared" si="8"/>
        <v>0</v>
      </c>
    </row>
    <row r="20" spans="2:47" ht="18" customHeight="1" x14ac:dyDescent="0.45">
      <c r="B20" s="18">
        <v>15</v>
      </c>
      <c r="C20" s="11" t="s">
        <v>108</v>
      </c>
      <c r="D20" s="11"/>
      <c r="E20" s="11">
        <v>2024120556</v>
      </c>
      <c r="F20" s="14">
        <v>45642</v>
      </c>
      <c r="G20" s="23"/>
      <c r="H20" s="29" t="s">
        <v>52</v>
      </c>
      <c r="I20" s="29" t="s">
        <v>52</v>
      </c>
      <c r="J20" s="29" t="s">
        <v>52</v>
      </c>
      <c r="K20" s="11" t="s">
        <v>7</v>
      </c>
      <c r="L20" s="29" t="s">
        <v>7</v>
      </c>
      <c r="M20" s="11" t="s">
        <v>7</v>
      </c>
      <c r="N20" s="11" t="s">
        <v>7</v>
      </c>
      <c r="O20" s="11" t="s">
        <v>7</v>
      </c>
      <c r="P20" s="29" t="s">
        <v>52</v>
      </c>
      <c r="Q20" s="29" t="s">
        <v>52</v>
      </c>
      <c r="R20" s="11" t="s">
        <v>128</v>
      </c>
      <c r="S20" s="11" t="s">
        <v>7</v>
      </c>
      <c r="T20" s="11" t="s">
        <v>7</v>
      </c>
      <c r="U20" s="11" t="s">
        <v>7</v>
      </c>
      <c r="V20" s="11" t="s">
        <v>7</v>
      </c>
      <c r="W20" s="29" t="s">
        <v>8</v>
      </c>
      <c r="X20" s="29" t="s">
        <v>52</v>
      </c>
      <c r="Y20" s="11" t="s">
        <v>128</v>
      </c>
      <c r="Z20" s="11" t="s">
        <v>128</v>
      </c>
      <c r="AA20" s="11" t="s">
        <v>128</v>
      </c>
      <c r="AB20" s="11" t="s">
        <v>7</v>
      </c>
      <c r="AC20" s="11" t="s">
        <v>129</v>
      </c>
      <c r="AD20" s="29" t="s">
        <v>7</v>
      </c>
      <c r="AE20" s="29" t="s">
        <v>7</v>
      </c>
      <c r="AF20" s="29" t="s">
        <v>7</v>
      </c>
      <c r="AG20" s="11" t="s">
        <v>128</v>
      </c>
      <c r="AH20" s="11" t="s">
        <v>128</v>
      </c>
      <c r="AI20" s="11" t="s">
        <v>128</v>
      </c>
      <c r="AJ20" s="11" t="s">
        <v>7</v>
      </c>
      <c r="AK20" s="29" t="s">
        <v>7</v>
      </c>
      <c r="AL20" s="29" t="s">
        <v>10</v>
      </c>
      <c r="AM20" s="21">
        <f t="shared" si="0"/>
        <v>18</v>
      </c>
      <c r="AN20" s="22">
        <f t="shared" si="1"/>
        <v>0.58064516129032262</v>
      </c>
      <c r="AO20" s="35">
        <f t="shared" si="2"/>
        <v>15</v>
      </c>
      <c r="AP20" s="34">
        <f t="shared" si="3"/>
        <v>0</v>
      </c>
      <c r="AQ20" s="36">
        <f t="shared" si="4"/>
        <v>1</v>
      </c>
      <c r="AR20" s="36">
        <f t="shared" si="5"/>
        <v>0</v>
      </c>
      <c r="AS20" s="36">
        <f t="shared" si="6"/>
        <v>1</v>
      </c>
      <c r="AT20" s="36">
        <f t="shared" si="7"/>
        <v>0</v>
      </c>
      <c r="AU20" s="53">
        <f t="shared" si="8"/>
        <v>0</v>
      </c>
    </row>
    <row r="21" spans="2:47" ht="18" customHeight="1" x14ac:dyDescent="0.45">
      <c r="B21" s="18">
        <v>16</v>
      </c>
      <c r="C21" s="11" t="s">
        <v>61</v>
      </c>
      <c r="D21" s="11"/>
      <c r="E21" s="11">
        <v>2025010693</v>
      </c>
      <c r="F21" s="14">
        <v>45677</v>
      </c>
      <c r="G21" s="23"/>
      <c r="H21" s="29" t="s">
        <v>8</v>
      </c>
      <c r="I21" s="29" t="s">
        <v>7</v>
      </c>
      <c r="J21" s="29" t="s">
        <v>7</v>
      </c>
      <c r="K21" s="11" t="s">
        <v>128</v>
      </c>
      <c r="L21" s="29" t="s">
        <v>128</v>
      </c>
      <c r="M21" s="11" t="s">
        <v>128</v>
      </c>
      <c r="N21" s="11" t="s">
        <v>7</v>
      </c>
      <c r="O21" s="11" t="s">
        <v>7</v>
      </c>
      <c r="P21" s="29" t="s">
        <v>7</v>
      </c>
      <c r="Q21" s="29" t="s">
        <v>7</v>
      </c>
      <c r="R21" s="11" t="s">
        <v>7</v>
      </c>
      <c r="S21" s="11" t="s">
        <v>128</v>
      </c>
      <c r="T21" s="11" t="s">
        <v>128</v>
      </c>
      <c r="U21" s="15" t="s">
        <v>128</v>
      </c>
      <c r="V21" s="11" t="s">
        <v>128</v>
      </c>
      <c r="W21" s="29" t="s">
        <v>7</v>
      </c>
      <c r="X21" s="29" t="s">
        <v>7</v>
      </c>
      <c r="Y21" s="11" t="s">
        <v>7</v>
      </c>
      <c r="Z21" s="11" t="s">
        <v>7</v>
      </c>
      <c r="AA21" s="11" t="s">
        <v>7</v>
      </c>
      <c r="AB21" s="15" t="s">
        <v>128</v>
      </c>
      <c r="AC21" s="11" t="s">
        <v>128</v>
      </c>
      <c r="AD21" s="29" t="s">
        <v>52</v>
      </c>
      <c r="AE21" s="29" t="s">
        <v>7</v>
      </c>
      <c r="AF21" s="29" t="s">
        <v>7</v>
      </c>
      <c r="AG21" s="11" t="s">
        <v>7</v>
      </c>
      <c r="AH21" s="11" t="s">
        <v>7</v>
      </c>
      <c r="AI21" s="11" t="s">
        <v>12</v>
      </c>
      <c r="AJ21" s="11" t="s">
        <v>128</v>
      </c>
      <c r="AK21" s="29" t="s">
        <v>52</v>
      </c>
      <c r="AL21" s="29" t="s">
        <v>52</v>
      </c>
      <c r="AM21" s="21">
        <f t="shared" si="0"/>
        <v>18</v>
      </c>
      <c r="AN21" s="22">
        <f t="shared" si="1"/>
        <v>0.58064516129032262</v>
      </c>
      <c r="AO21" s="33">
        <f t="shared" si="2"/>
        <v>16</v>
      </c>
      <c r="AP21" s="34">
        <f t="shared" si="3"/>
        <v>0</v>
      </c>
      <c r="AQ21" s="34">
        <f t="shared" si="4"/>
        <v>1</v>
      </c>
      <c r="AR21" s="34">
        <f t="shared" si="5"/>
        <v>0</v>
      </c>
      <c r="AS21" s="34">
        <f t="shared" si="6"/>
        <v>0</v>
      </c>
      <c r="AT21" s="34">
        <f t="shared" si="7"/>
        <v>0</v>
      </c>
      <c r="AU21" s="52">
        <f t="shared" si="8"/>
        <v>1</v>
      </c>
    </row>
    <row r="22" spans="2:47" ht="18" customHeight="1" x14ac:dyDescent="0.45">
      <c r="B22" s="18">
        <v>17</v>
      </c>
      <c r="C22" s="11" t="s">
        <v>63</v>
      </c>
      <c r="D22" s="11"/>
      <c r="E22" s="11">
        <v>2025020067</v>
      </c>
      <c r="F22" s="14">
        <v>45693</v>
      </c>
      <c r="G22" s="23"/>
      <c r="H22" s="29" t="s">
        <v>52</v>
      </c>
      <c r="I22" s="29" t="s">
        <v>52</v>
      </c>
      <c r="J22" s="29" t="s">
        <v>52</v>
      </c>
      <c r="K22" s="59" t="s">
        <v>51</v>
      </c>
      <c r="L22" s="29" t="s">
        <v>52</v>
      </c>
      <c r="M22" s="59" t="s">
        <v>51</v>
      </c>
      <c r="N22" s="59" t="s">
        <v>51</v>
      </c>
      <c r="O22" s="59" t="s">
        <v>51</v>
      </c>
      <c r="P22" s="29" t="s">
        <v>52</v>
      </c>
      <c r="Q22" s="29" t="s">
        <v>52</v>
      </c>
      <c r="R22" s="59" t="s">
        <v>51</v>
      </c>
      <c r="S22" s="59" t="s">
        <v>51</v>
      </c>
      <c r="T22" s="59" t="s">
        <v>51</v>
      </c>
      <c r="U22" s="59" t="s">
        <v>51</v>
      </c>
      <c r="V22" s="59" t="s">
        <v>51</v>
      </c>
      <c r="W22" s="29" t="s">
        <v>52</v>
      </c>
      <c r="X22" s="29" t="s">
        <v>52</v>
      </c>
      <c r="Y22" s="59" t="s">
        <v>51</v>
      </c>
      <c r="Z22" s="59" t="s">
        <v>51</v>
      </c>
      <c r="AA22" s="59" t="s">
        <v>51</v>
      </c>
      <c r="AB22" s="59" t="s">
        <v>51</v>
      </c>
      <c r="AC22" s="59" t="s">
        <v>51</v>
      </c>
      <c r="AD22" s="29" t="s">
        <v>52</v>
      </c>
      <c r="AE22" s="29" t="s">
        <v>52</v>
      </c>
      <c r="AF22" s="29" t="s">
        <v>52</v>
      </c>
      <c r="AG22" s="11" t="s">
        <v>129</v>
      </c>
      <c r="AH22" s="59" t="s">
        <v>51</v>
      </c>
      <c r="AI22" s="11" t="s">
        <v>129</v>
      </c>
      <c r="AJ22" s="59" t="s">
        <v>51</v>
      </c>
      <c r="AK22" s="29" t="s">
        <v>52</v>
      </c>
      <c r="AL22" s="29" t="s">
        <v>52</v>
      </c>
      <c r="AM22" s="21">
        <f t="shared" si="0"/>
        <v>18</v>
      </c>
      <c r="AN22" s="22">
        <f t="shared" si="1"/>
        <v>0.58064516129032262</v>
      </c>
      <c r="AO22" s="33">
        <f t="shared" si="2"/>
        <v>16</v>
      </c>
      <c r="AP22" s="34">
        <f t="shared" si="3"/>
        <v>0</v>
      </c>
      <c r="AQ22" s="34">
        <f t="shared" si="4"/>
        <v>0</v>
      </c>
      <c r="AR22" s="34">
        <f t="shared" si="5"/>
        <v>0</v>
      </c>
      <c r="AS22" s="34">
        <f t="shared" si="6"/>
        <v>0</v>
      </c>
      <c r="AT22" s="34">
        <f t="shared" si="7"/>
        <v>0</v>
      </c>
      <c r="AU22" s="52">
        <f t="shared" si="8"/>
        <v>0</v>
      </c>
    </row>
    <row r="23" spans="2:47" ht="18" customHeight="1" x14ac:dyDescent="0.45">
      <c r="B23" s="18">
        <v>18</v>
      </c>
      <c r="C23" s="11" t="s">
        <v>70</v>
      </c>
      <c r="D23" s="11"/>
      <c r="E23" s="11">
        <v>2025040554</v>
      </c>
      <c r="F23" s="14">
        <v>45761</v>
      </c>
      <c r="G23" s="38"/>
      <c r="H23" s="29" t="s">
        <v>52</v>
      </c>
      <c r="I23" s="29" t="s">
        <v>52</v>
      </c>
      <c r="J23" s="29" t="s">
        <v>52</v>
      </c>
      <c r="K23" s="11" t="s">
        <v>7</v>
      </c>
      <c r="L23" s="29" t="s">
        <v>7</v>
      </c>
      <c r="M23" s="11" t="s">
        <v>7</v>
      </c>
      <c r="N23" s="11" t="s">
        <v>10</v>
      </c>
      <c r="O23" s="11" t="s">
        <v>7</v>
      </c>
      <c r="P23" s="29" t="s">
        <v>52</v>
      </c>
      <c r="Q23" s="29" t="s">
        <v>52</v>
      </c>
      <c r="R23" s="11" t="s">
        <v>128</v>
      </c>
      <c r="S23" s="11" t="s">
        <v>7</v>
      </c>
      <c r="T23" s="11" t="s">
        <v>7</v>
      </c>
      <c r="U23" s="11" t="s">
        <v>7</v>
      </c>
      <c r="V23" s="11" t="s">
        <v>7</v>
      </c>
      <c r="W23" s="29" t="s">
        <v>7</v>
      </c>
      <c r="X23" s="29" t="s">
        <v>52</v>
      </c>
      <c r="Y23" s="11" t="s">
        <v>128</v>
      </c>
      <c r="Z23" s="11" t="s">
        <v>128</v>
      </c>
      <c r="AA23" s="11" t="s">
        <v>128</v>
      </c>
      <c r="AB23" s="11" t="s">
        <v>7</v>
      </c>
      <c r="AC23" s="11" t="s">
        <v>8</v>
      </c>
      <c r="AD23" s="29" t="s">
        <v>7</v>
      </c>
      <c r="AE23" s="29" t="s">
        <v>7</v>
      </c>
      <c r="AF23" s="29" t="s">
        <v>7</v>
      </c>
      <c r="AG23" s="11" t="s">
        <v>128</v>
      </c>
      <c r="AH23" s="11" t="s">
        <v>128</v>
      </c>
      <c r="AI23" s="11" t="s">
        <v>128</v>
      </c>
      <c r="AJ23" s="11" t="s">
        <v>8</v>
      </c>
      <c r="AK23" s="29" t="s">
        <v>7</v>
      </c>
      <c r="AL23" s="29" t="s">
        <v>7</v>
      </c>
      <c r="AM23" s="21">
        <f t="shared" si="0"/>
        <v>18</v>
      </c>
      <c r="AN23" s="22">
        <f t="shared" si="1"/>
        <v>0.58064516129032262</v>
      </c>
      <c r="AO23" s="33">
        <f t="shared" si="2"/>
        <v>15</v>
      </c>
      <c r="AP23" s="34">
        <f t="shared" si="3"/>
        <v>0</v>
      </c>
      <c r="AQ23" s="34">
        <f t="shared" si="4"/>
        <v>2</v>
      </c>
      <c r="AR23" s="34">
        <f t="shared" si="5"/>
        <v>0</v>
      </c>
      <c r="AS23" s="34">
        <f t="shared" si="6"/>
        <v>1</v>
      </c>
      <c r="AT23" s="34">
        <f t="shared" si="7"/>
        <v>0</v>
      </c>
      <c r="AU23" s="52">
        <f t="shared" si="8"/>
        <v>0</v>
      </c>
    </row>
    <row r="24" spans="2:47" ht="18" customHeight="1" x14ac:dyDescent="0.45">
      <c r="B24" s="18">
        <v>19</v>
      </c>
      <c r="C24" s="11" t="s">
        <v>107</v>
      </c>
      <c r="D24" s="11"/>
      <c r="E24" s="11">
        <v>2025050125</v>
      </c>
      <c r="F24" s="14">
        <v>45784</v>
      </c>
      <c r="G24" s="23"/>
      <c r="H24" s="29" t="s">
        <v>7</v>
      </c>
      <c r="I24" s="29" t="s">
        <v>7</v>
      </c>
      <c r="J24" s="29" t="s">
        <v>8</v>
      </c>
      <c r="K24" s="11" t="s">
        <v>128</v>
      </c>
      <c r="L24" s="29" t="s">
        <v>128</v>
      </c>
      <c r="M24" s="11" t="s">
        <v>128</v>
      </c>
      <c r="N24" s="11" t="s">
        <v>7</v>
      </c>
      <c r="O24" s="11" t="s">
        <v>7</v>
      </c>
      <c r="P24" s="29" t="s">
        <v>7</v>
      </c>
      <c r="Q24" s="29" t="s">
        <v>7</v>
      </c>
      <c r="R24" s="11" t="s">
        <v>8</v>
      </c>
      <c r="S24" s="11" t="s">
        <v>128</v>
      </c>
      <c r="T24" s="11" t="s">
        <v>128</v>
      </c>
      <c r="U24" s="15" t="s">
        <v>128</v>
      </c>
      <c r="V24" s="11" t="s">
        <v>128</v>
      </c>
      <c r="W24" s="29" t="s">
        <v>7</v>
      </c>
      <c r="X24" s="29" t="s">
        <v>7</v>
      </c>
      <c r="Y24" s="11" t="s">
        <v>7</v>
      </c>
      <c r="Z24" s="11" t="s">
        <v>7</v>
      </c>
      <c r="AA24" s="11" t="s">
        <v>7</v>
      </c>
      <c r="AB24" s="15" t="s">
        <v>128</v>
      </c>
      <c r="AC24" s="11" t="s">
        <v>128</v>
      </c>
      <c r="AD24" s="29" t="s">
        <v>52</v>
      </c>
      <c r="AE24" s="29" t="s">
        <v>8</v>
      </c>
      <c r="AF24" s="29" t="s">
        <v>7</v>
      </c>
      <c r="AG24" s="11" t="s">
        <v>8</v>
      </c>
      <c r="AH24" s="11" t="s">
        <v>8</v>
      </c>
      <c r="AI24" s="11" t="s">
        <v>7</v>
      </c>
      <c r="AJ24" s="11" t="s">
        <v>128</v>
      </c>
      <c r="AK24" s="29" t="s">
        <v>52</v>
      </c>
      <c r="AL24" s="29" t="s">
        <v>52</v>
      </c>
      <c r="AM24" s="21">
        <f t="shared" ref="AM24" si="9">$AL$5-(COUNTIF(H24:AL24,"퇴사")+COUNTIF(H24:AL24,"/")+COUNTIF(H24:AL24,"교육")+COUNTIF(H24:AL24,"결근"))</f>
        <v>18</v>
      </c>
      <c r="AN24" s="22">
        <f t="shared" si="1"/>
        <v>0.58064516129032262</v>
      </c>
      <c r="AO24" s="35">
        <f t="shared" si="2"/>
        <v>13</v>
      </c>
      <c r="AP24" s="34">
        <f t="shared" si="3"/>
        <v>0</v>
      </c>
      <c r="AQ24" s="36">
        <f t="shared" si="4"/>
        <v>5</v>
      </c>
      <c r="AR24" s="36">
        <f t="shared" si="5"/>
        <v>0</v>
      </c>
      <c r="AS24" s="36">
        <f t="shared" si="6"/>
        <v>0</v>
      </c>
      <c r="AT24" s="36">
        <f t="shared" si="7"/>
        <v>0</v>
      </c>
      <c r="AU24" s="53">
        <f t="shared" si="8"/>
        <v>0</v>
      </c>
    </row>
    <row r="25" spans="2:47" ht="18" customHeight="1" x14ac:dyDescent="0.45">
      <c r="B25" s="18">
        <v>20</v>
      </c>
      <c r="C25" s="11" t="s">
        <v>72</v>
      </c>
      <c r="D25" s="11"/>
      <c r="E25" s="11">
        <v>2025060402</v>
      </c>
      <c r="F25" s="14">
        <v>45824</v>
      </c>
      <c r="G25" s="23"/>
      <c r="H25" s="29" t="s">
        <v>52</v>
      </c>
      <c r="I25" s="29" t="s">
        <v>52</v>
      </c>
      <c r="J25" s="29" t="s">
        <v>52</v>
      </c>
      <c r="K25" s="11" t="s">
        <v>8</v>
      </c>
      <c r="L25" s="29" t="s">
        <v>52</v>
      </c>
      <c r="M25" s="59" t="s">
        <v>51</v>
      </c>
      <c r="N25" s="59" t="s">
        <v>51</v>
      </c>
      <c r="O25" s="59" t="s">
        <v>51</v>
      </c>
      <c r="P25" s="29" t="s">
        <v>52</v>
      </c>
      <c r="Q25" s="29" t="s">
        <v>52</v>
      </c>
      <c r="R25" s="59" t="s">
        <v>51</v>
      </c>
      <c r="S25" s="59" t="s">
        <v>51</v>
      </c>
      <c r="T25" s="59" t="s">
        <v>51</v>
      </c>
      <c r="U25" s="59" t="s">
        <v>51</v>
      </c>
      <c r="V25" s="59" t="s">
        <v>51</v>
      </c>
      <c r="W25" s="29" t="s">
        <v>52</v>
      </c>
      <c r="X25" s="29" t="s">
        <v>52</v>
      </c>
      <c r="Y25" s="11" t="s">
        <v>8</v>
      </c>
      <c r="Z25" s="59" t="s">
        <v>51</v>
      </c>
      <c r="AA25" s="59" t="s">
        <v>51</v>
      </c>
      <c r="AB25" s="59" t="s">
        <v>51</v>
      </c>
      <c r="AC25" s="59" t="s">
        <v>51</v>
      </c>
      <c r="AD25" s="29" t="s">
        <v>52</v>
      </c>
      <c r="AE25" s="29" t="s">
        <v>52</v>
      </c>
      <c r="AF25" s="29" t="s">
        <v>52</v>
      </c>
      <c r="AG25" s="59" t="s">
        <v>51</v>
      </c>
      <c r="AH25" s="59" t="s">
        <v>51</v>
      </c>
      <c r="AI25" s="59" t="s">
        <v>51</v>
      </c>
      <c r="AJ25" s="59" t="s">
        <v>51</v>
      </c>
      <c r="AK25" s="29" t="s">
        <v>52</v>
      </c>
      <c r="AL25" s="29" t="s">
        <v>52</v>
      </c>
      <c r="AM25" s="21">
        <f t="shared" si="0"/>
        <v>18</v>
      </c>
      <c r="AN25" s="22">
        <f t="shared" si="1"/>
        <v>0.58064516129032262</v>
      </c>
      <c r="AO25" s="33">
        <f t="shared" si="2"/>
        <v>16</v>
      </c>
      <c r="AP25" s="34">
        <f t="shared" si="3"/>
        <v>0</v>
      </c>
      <c r="AQ25" s="34">
        <f t="shared" si="4"/>
        <v>2</v>
      </c>
      <c r="AR25" s="34">
        <f t="shared" si="5"/>
        <v>0</v>
      </c>
      <c r="AS25" s="34">
        <f t="shared" si="6"/>
        <v>0</v>
      </c>
      <c r="AT25" s="34">
        <f t="shared" si="7"/>
        <v>0</v>
      </c>
      <c r="AU25" s="52">
        <f t="shared" si="8"/>
        <v>0</v>
      </c>
    </row>
    <row r="26" spans="2:47" ht="18" customHeight="1" x14ac:dyDescent="0.45">
      <c r="B26" s="18">
        <v>21</v>
      </c>
      <c r="C26" s="11" t="s">
        <v>78</v>
      </c>
      <c r="D26" s="11"/>
      <c r="E26" s="11">
        <v>2025070296</v>
      </c>
      <c r="F26" s="14">
        <v>45852</v>
      </c>
      <c r="G26" s="23"/>
      <c r="H26" s="29" t="s">
        <v>7</v>
      </c>
      <c r="I26" s="29" t="s">
        <v>7</v>
      </c>
      <c r="J26" s="29" t="s">
        <v>7</v>
      </c>
      <c r="K26" s="11" t="s">
        <v>7</v>
      </c>
      <c r="L26" s="29" t="s">
        <v>8</v>
      </c>
      <c r="M26" s="11" t="s">
        <v>128</v>
      </c>
      <c r="N26" s="11" t="s">
        <v>128</v>
      </c>
      <c r="O26" s="11" t="s">
        <v>128</v>
      </c>
      <c r="P26" s="29" t="s">
        <v>7</v>
      </c>
      <c r="Q26" s="29" t="s">
        <v>7</v>
      </c>
      <c r="R26" s="11" t="s">
        <v>7</v>
      </c>
      <c r="S26" s="11" t="s">
        <v>7</v>
      </c>
      <c r="T26" s="11" t="s">
        <v>7</v>
      </c>
      <c r="U26" s="11" t="s">
        <v>128</v>
      </c>
      <c r="V26" s="11" t="s">
        <v>128</v>
      </c>
      <c r="W26" s="29" t="s">
        <v>52</v>
      </c>
      <c r="X26" s="29" t="s">
        <v>7</v>
      </c>
      <c r="Y26" s="11" t="s">
        <v>7</v>
      </c>
      <c r="Z26" s="11" t="s">
        <v>7</v>
      </c>
      <c r="AA26" s="11" t="s">
        <v>7</v>
      </c>
      <c r="AB26" s="11" t="s">
        <v>7</v>
      </c>
      <c r="AC26" s="11" t="s">
        <v>128</v>
      </c>
      <c r="AD26" s="29" t="s">
        <v>52</v>
      </c>
      <c r="AE26" s="29" t="s">
        <v>52</v>
      </c>
      <c r="AF26" s="29" t="s">
        <v>52</v>
      </c>
      <c r="AG26" s="11" t="s">
        <v>7</v>
      </c>
      <c r="AH26" s="11" t="s">
        <v>7</v>
      </c>
      <c r="AI26" s="11" t="s">
        <v>7</v>
      </c>
      <c r="AJ26" s="11" t="s">
        <v>8</v>
      </c>
      <c r="AK26" s="29" t="s">
        <v>7</v>
      </c>
      <c r="AL26" s="29" t="s">
        <v>52</v>
      </c>
      <c r="AM26" s="21">
        <f t="shared" si="0"/>
        <v>20</v>
      </c>
      <c r="AN26" s="22">
        <f t="shared" si="1"/>
        <v>0.64516129032258063</v>
      </c>
      <c r="AO26" s="35">
        <f t="shared" si="2"/>
        <v>18</v>
      </c>
      <c r="AP26" s="34">
        <f t="shared" si="3"/>
        <v>0</v>
      </c>
      <c r="AQ26" s="36">
        <f t="shared" si="4"/>
        <v>2</v>
      </c>
      <c r="AR26" s="36">
        <f t="shared" si="5"/>
        <v>0</v>
      </c>
      <c r="AS26" s="36">
        <f t="shared" si="6"/>
        <v>0</v>
      </c>
      <c r="AT26" s="36">
        <f t="shared" si="7"/>
        <v>0</v>
      </c>
      <c r="AU26" s="53">
        <f t="shared" si="8"/>
        <v>0</v>
      </c>
    </row>
    <row r="27" spans="2:47" ht="18" customHeight="1" x14ac:dyDescent="0.45">
      <c r="B27" s="18">
        <v>22</v>
      </c>
      <c r="C27" s="11" t="s">
        <v>77</v>
      </c>
      <c r="D27" s="11"/>
      <c r="E27" s="11">
        <v>2025080036</v>
      </c>
      <c r="F27" s="14">
        <v>45873</v>
      </c>
      <c r="G27" s="23"/>
      <c r="H27" s="29" t="s">
        <v>10</v>
      </c>
      <c r="I27" s="29" t="s">
        <v>52</v>
      </c>
      <c r="J27" s="29" t="s">
        <v>52</v>
      </c>
      <c r="K27" s="11" t="s">
        <v>128</v>
      </c>
      <c r="L27" s="29" t="s">
        <v>52</v>
      </c>
      <c r="M27" s="11" t="s">
        <v>7</v>
      </c>
      <c r="N27" s="11" t="s">
        <v>7</v>
      </c>
      <c r="O27" s="11" t="s">
        <v>7</v>
      </c>
      <c r="P27" s="29" t="s">
        <v>7</v>
      </c>
      <c r="Q27" s="29" t="s">
        <v>7</v>
      </c>
      <c r="R27" s="11" t="s">
        <v>128</v>
      </c>
      <c r="S27" s="11" t="s">
        <v>128</v>
      </c>
      <c r="T27" s="11" t="s">
        <v>128</v>
      </c>
      <c r="U27" s="11" t="s">
        <v>7</v>
      </c>
      <c r="V27" s="11" t="s">
        <v>7</v>
      </c>
      <c r="W27" s="29" t="s">
        <v>7</v>
      </c>
      <c r="X27" s="29" t="s">
        <v>7</v>
      </c>
      <c r="Y27" s="11" t="s">
        <v>7</v>
      </c>
      <c r="Z27" s="11" t="s">
        <v>128</v>
      </c>
      <c r="AA27" s="11" t="s">
        <v>128</v>
      </c>
      <c r="AB27" s="11" t="s">
        <v>128</v>
      </c>
      <c r="AC27" s="11" t="s">
        <v>7</v>
      </c>
      <c r="AD27" s="29" t="s">
        <v>7</v>
      </c>
      <c r="AE27" s="29" t="s">
        <v>7</v>
      </c>
      <c r="AF27" s="29" t="s">
        <v>7</v>
      </c>
      <c r="AG27" s="11" t="s">
        <v>129</v>
      </c>
      <c r="AH27" s="11" t="s">
        <v>128</v>
      </c>
      <c r="AI27" s="11" t="s">
        <v>128</v>
      </c>
      <c r="AJ27" s="11" t="s">
        <v>128</v>
      </c>
      <c r="AK27" s="29" t="s">
        <v>52</v>
      </c>
      <c r="AL27" s="29" t="s">
        <v>7</v>
      </c>
      <c r="AM27" s="21">
        <f t="shared" si="0"/>
        <v>17</v>
      </c>
      <c r="AN27" s="22">
        <f t="shared" si="1"/>
        <v>0.54838709677419351</v>
      </c>
      <c r="AO27" s="35">
        <f t="shared" si="2"/>
        <v>15</v>
      </c>
      <c r="AP27" s="34">
        <f t="shared" si="3"/>
        <v>0</v>
      </c>
      <c r="AQ27" s="36">
        <f t="shared" si="4"/>
        <v>0</v>
      </c>
      <c r="AR27" s="36">
        <f t="shared" si="5"/>
        <v>0</v>
      </c>
      <c r="AS27" s="36">
        <f t="shared" si="6"/>
        <v>1</v>
      </c>
      <c r="AT27" s="36">
        <f t="shared" si="7"/>
        <v>0</v>
      </c>
      <c r="AU27" s="53">
        <f t="shared" si="8"/>
        <v>0</v>
      </c>
    </row>
    <row r="28" spans="2:47" ht="18" customHeight="1" x14ac:dyDescent="0.45">
      <c r="B28" s="18">
        <v>23</v>
      </c>
      <c r="C28" s="11" t="s">
        <v>91</v>
      </c>
      <c r="D28" s="11"/>
      <c r="E28" s="11">
        <v>2025090285</v>
      </c>
      <c r="F28" s="14">
        <v>45908</v>
      </c>
      <c r="G28" s="23"/>
      <c r="H28" s="29" t="s">
        <v>52</v>
      </c>
      <c r="I28" s="29" t="s">
        <v>52</v>
      </c>
      <c r="J28" s="29" t="s">
        <v>52</v>
      </c>
      <c r="K28" s="11" t="s">
        <v>7</v>
      </c>
      <c r="L28" s="29" t="s">
        <v>7</v>
      </c>
      <c r="M28" s="11" t="s">
        <v>7</v>
      </c>
      <c r="N28" s="11" t="s">
        <v>7</v>
      </c>
      <c r="O28" s="11" t="s">
        <v>7</v>
      </c>
      <c r="P28" s="29" t="s">
        <v>52</v>
      </c>
      <c r="Q28" s="29" t="s">
        <v>52</v>
      </c>
      <c r="R28" s="11" t="s">
        <v>128</v>
      </c>
      <c r="S28" s="11" t="s">
        <v>7</v>
      </c>
      <c r="T28" s="11" t="s">
        <v>7</v>
      </c>
      <c r="U28" s="11" t="s">
        <v>7</v>
      </c>
      <c r="V28" s="11" t="s">
        <v>7</v>
      </c>
      <c r="W28" s="29" t="s">
        <v>7</v>
      </c>
      <c r="X28" s="29" t="s">
        <v>52</v>
      </c>
      <c r="Y28" s="11" t="s">
        <v>128</v>
      </c>
      <c r="Z28" s="11" t="s">
        <v>128</v>
      </c>
      <c r="AA28" s="11" t="s">
        <v>128</v>
      </c>
      <c r="AB28" s="11" t="s">
        <v>7</v>
      </c>
      <c r="AC28" s="11" t="s">
        <v>7</v>
      </c>
      <c r="AD28" s="29" t="s">
        <v>7</v>
      </c>
      <c r="AE28" s="29" t="s">
        <v>129</v>
      </c>
      <c r="AF28" s="29" t="s">
        <v>7</v>
      </c>
      <c r="AG28" s="11" t="s">
        <v>128</v>
      </c>
      <c r="AH28" s="11" t="s">
        <v>128</v>
      </c>
      <c r="AI28" s="11" t="s">
        <v>128</v>
      </c>
      <c r="AJ28" s="11" t="s">
        <v>7</v>
      </c>
      <c r="AK28" s="29" t="s">
        <v>129</v>
      </c>
      <c r="AL28" s="29" t="s">
        <v>7</v>
      </c>
      <c r="AM28" s="21">
        <f t="shared" si="0"/>
        <v>18</v>
      </c>
      <c r="AN28" s="22">
        <f t="shared" si="1"/>
        <v>0.58064516129032262</v>
      </c>
      <c r="AO28" s="35">
        <f t="shared" si="2"/>
        <v>16</v>
      </c>
      <c r="AP28" s="34">
        <f t="shared" si="3"/>
        <v>0</v>
      </c>
      <c r="AQ28" s="36">
        <f t="shared" si="4"/>
        <v>0</v>
      </c>
      <c r="AR28" s="36">
        <f t="shared" si="5"/>
        <v>0</v>
      </c>
      <c r="AS28" s="36">
        <f t="shared" si="6"/>
        <v>0</v>
      </c>
      <c r="AT28" s="36">
        <f t="shared" si="7"/>
        <v>0</v>
      </c>
      <c r="AU28" s="53">
        <f t="shared" si="8"/>
        <v>0</v>
      </c>
    </row>
    <row r="29" spans="2:47" ht="18" customHeight="1" x14ac:dyDescent="0.45">
      <c r="B29" s="18">
        <v>24</v>
      </c>
      <c r="C29" s="11" t="s">
        <v>96</v>
      </c>
      <c r="D29" s="11"/>
      <c r="E29" s="11">
        <v>2025110040</v>
      </c>
      <c r="F29" s="14">
        <v>45964</v>
      </c>
      <c r="G29" s="23"/>
      <c r="H29" s="29" t="s">
        <v>52</v>
      </c>
      <c r="I29" s="29" t="s">
        <v>7</v>
      </c>
      <c r="J29" s="29" t="s">
        <v>7</v>
      </c>
      <c r="K29" s="15" t="s">
        <v>7</v>
      </c>
      <c r="L29" s="29" t="s">
        <v>7</v>
      </c>
      <c r="M29" s="15" t="s">
        <v>7</v>
      </c>
      <c r="N29" s="15" t="s">
        <v>128</v>
      </c>
      <c r="O29" s="15" t="s">
        <v>128</v>
      </c>
      <c r="P29" s="29" t="s">
        <v>52</v>
      </c>
      <c r="Q29" s="29" t="s">
        <v>52</v>
      </c>
      <c r="R29" s="15" t="s">
        <v>7</v>
      </c>
      <c r="S29" s="15" t="s">
        <v>7</v>
      </c>
      <c r="T29" s="15" t="s">
        <v>7</v>
      </c>
      <c r="U29" s="15" t="s">
        <v>7</v>
      </c>
      <c r="V29" s="15" t="s">
        <v>7</v>
      </c>
      <c r="W29" s="29" t="s">
        <v>52</v>
      </c>
      <c r="X29" s="29" t="s">
        <v>52</v>
      </c>
      <c r="Y29" s="15" t="s">
        <v>128</v>
      </c>
      <c r="Z29" s="15" t="s">
        <v>7</v>
      </c>
      <c r="AA29" s="15" t="s">
        <v>7</v>
      </c>
      <c r="AB29" s="15" t="s">
        <v>7</v>
      </c>
      <c r="AC29" s="15" t="s">
        <v>7</v>
      </c>
      <c r="AD29" s="29" t="s">
        <v>7</v>
      </c>
      <c r="AE29" s="29" t="s">
        <v>52</v>
      </c>
      <c r="AF29" s="29" t="s">
        <v>52</v>
      </c>
      <c r="AG29" s="15" t="s">
        <v>128</v>
      </c>
      <c r="AH29" s="15" t="s">
        <v>7</v>
      </c>
      <c r="AI29" s="15" t="s">
        <v>7</v>
      </c>
      <c r="AJ29" s="15" t="s">
        <v>7</v>
      </c>
      <c r="AK29" s="29" t="s">
        <v>7</v>
      </c>
      <c r="AL29" s="29" t="s">
        <v>7</v>
      </c>
      <c r="AM29" s="21">
        <f t="shared" si="0"/>
        <v>20</v>
      </c>
      <c r="AN29" s="22">
        <f t="shared" si="1"/>
        <v>0.64516129032258063</v>
      </c>
      <c r="AO29" s="35">
        <f t="shared" si="2"/>
        <v>20</v>
      </c>
      <c r="AP29" s="34">
        <f t="shared" si="3"/>
        <v>0</v>
      </c>
      <c r="AQ29" s="36">
        <f t="shared" si="4"/>
        <v>0</v>
      </c>
      <c r="AR29" s="36">
        <f t="shared" si="5"/>
        <v>0</v>
      </c>
      <c r="AS29" s="36">
        <f t="shared" si="6"/>
        <v>0</v>
      </c>
      <c r="AT29" s="36">
        <f t="shared" si="7"/>
        <v>0</v>
      </c>
      <c r="AU29" s="53">
        <f t="shared" si="8"/>
        <v>0</v>
      </c>
    </row>
    <row r="30" spans="2:47" ht="18" customHeight="1" x14ac:dyDescent="0.45">
      <c r="B30" s="18">
        <v>25</v>
      </c>
      <c r="C30" s="11" t="s">
        <v>100</v>
      </c>
      <c r="D30" s="11"/>
      <c r="E30" s="11">
        <v>2025110042</v>
      </c>
      <c r="F30" s="14">
        <v>45964</v>
      </c>
      <c r="G30" s="23"/>
      <c r="H30" s="29" t="s">
        <v>7</v>
      </c>
      <c r="I30" s="29" t="s">
        <v>52</v>
      </c>
      <c r="J30" s="29" t="s">
        <v>52</v>
      </c>
      <c r="K30" s="11" t="s">
        <v>128</v>
      </c>
      <c r="L30" s="29" t="s">
        <v>52</v>
      </c>
      <c r="M30" s="11" t="s">
        <v>7</v>
      </c>
      <c r="N30" s="11" t="s">
        <v>7</v>
      </c>
      <c r="O30" s="11" t="s">
        <v>7</v>
      </c>
      <c r="P30" s="29" t="s">
        <v>7</v>
      </c>
      <c r="Q30" s="29" t="s">
        <v>7</v>
      </c>
      <c r="R30" s="11" t="s">
        <v>128</v>
      </c>
      <c r="S30" s="11" t="s">
        <v>128</v>
      </c>
      <c r="T30" s="11" t="s">
        <v>128</v>
      </c>
      <c r="U30" s="11" t="s">
        <v>7</v>
      </c>
      <c r="V30" s="11" t="s">
        <v>12</v>
      </c>
      <c r="W30" s="29" t="s">
        <v>7</v>
      </c>
      <c r="X30" s="29" t="s">
        <v>7</v>
      </c>
      <c r="Y30" s="11" t="s">
        <v>12</v>
      </c>
      <c r="Z30" s="11" t="s">
        <v>128</v>
      </c>
      <c r="AA30" s="11" t="s">
        <v>128</v>
      </c>
      <c r="AB30" s="11" t="s">
        <v>128</v>
      </c>
      <c r="AC30" s="11" t="s">
        <v>7</v>
      </c>
      <c r="AD30" s="29" t="s">
        <v>10</v>
      </c>
      <c r="AE30" s="29" t="s">
        <v>7</v>
      </c>
      <c r="AF30" s="29" t="s">
        <v>7</v>
      </c>
      <c r="AG30" s="11" t="s">
        <v>7</v>
      </c>
      <c r="AH30" s="11" t="s">
        <v>128</v>
      </c>
      <c r="AI30" s="11" t="s">
        <v>128</v>
      </c>
      <c r="AJ30" s="11" t="s">
        <v>128</v>
      </c>
      <c r="AK30" s="29" t="s">
        <v>52</v>
      </c>
      <c r="AL30" s="29" t="s">
        <v>7</v>
      </c>
      <c r="AM30" s="21">
        <f t="shared" si="0"/>
        <v>17</v>
      </c>
      <c r="AN30" s="22">
        <f t="shared" si="1"/>
        <v>0.54838709677419351</v>
      </c>
      <c r="AO30" s="35">
        <f t="shared" si="2"/>
        <v>14</v>
      </c>
      <c r="AP30" s="34">
        <f t="shared" si="3"/>
        <v>0</v>
      </c>
      <c r="AQ30" s="36">
        <f t="shared" si="4"/>
        <v>0</v>
      </c>
      <c r="AR30" s="36">
        <f t="shared" si="5"/>
        <v>0</v>
      </c>
      <c r="AS30" s="36">
        <f t="shared" si="6"/>
        <v>1</v>
      </c>
      <c r="AT30" s="36">
        <f t="shared" si="7"/>
        <v>0</v>
      </c>
      <c r="AU30" s="53">
        <f t="shared" si="8"/>
        <v>2</v>
      </c>
    </row>
    <row r="31" spans="2:47" ht="18" customHeight="1" x14ac:dyDescent="0.45">
      <c r="B31" s="18">
        <v>26</v>
      </c>
      <c r="C31" s="11" t="s">
        <v>103</v>
      </c>
      <c r="D31" s="11"/>
      <c r="E31" s="11">
        <v>2025120225</v>
      </c>
      <c r="F31" s="14">
        <v>45999</v>
      </c>
      <c r="G31" s="23"/>
      <c r="H31" s="29" t="s">
        <v>7</v>
      </c>
      <c r="I31" s="29" t="s">
        <v>7</v>
      </c>
      <c r="J31" s="29" t="s">
        <v>7</v>
      </c>
      <c r="K31" s="11" t="s">
        <v>129</v>
      </c>
      <c r="L31" s="29" t="s">
        <v>7</v>
      </c>
      <c r="M31" s="11" t="s">
        <v>128</v>
      </c>
      <c r="N31" s="11" t="s">
        <v>128</v>
      </c>
      <c r="O31" s="11" t="s">
        <v>128</v>
      </c>
      <c r="P31" s="29" t="s">
        <v>7</v>
      </c>
      <c r="Q31" s="29" t="s">
        <v>7</v>
      </c>
      <c r="R31" s="11" t="s">
        <v>7</v>
      </c>
      <c r="S31" s="11" t="s">
        <v>7</v>
      </c>
      <c r="T31" s="11" t="s">
        <v>8</v>
      </c>
      <c r="U31" s="11" t="s">
        <v>128</v>
      </c>
      <c r="V31" s="11" t="s">
        <v>128</v>
      </c>
      <c r="W31" s="29" t="s">
        <v>52</v>
      </c>
      <c r="X31" s="29" t="s">
        <v>7</v>
      </c>
      <c r="Y31" s="11" t="s">
        <v>7</v>
      </c>
      <c r="Z31" s="11" t="s">
        <v>7</v>
      </c>
      <c r="AA31" s="11" t="s">
        <v>7</v>
      </c>
      <c r="AB31" s="11" t="s">
        <v>7</v>
      </c>
      <c r="AC31" s="11" t="s">
        <v>128</v>
      </c>
      <c r="AD31" s="29" t="s">
        <v>52</v>
      </c>
      <c r="AE31" s="29" t="s">
        <v>52</v>
      </c>
      <c r="AF31" s="29" t="s">
        <v>52</v>
      </c>
      <c r="AG31" s="11" t="s">
        <v>129</v>
      </c>
      <c r="AH31" s="11" t="s">
        <v>7</v>
      </c>
      <c r="AI31" s="11" t="s">
        <v>7</v>
      </c>
      <c r="AJ31" s="11" t="s">
        <v>7</v>
      </c>
      <c r="AK31" s="29" t="s">
        <v>7</v>
      </c>
      <c r="AL31" s="29" t="s">
        <v>52</v>
      </c>
      <c r="AM31" s="21">
        <f t="shared" si="0"/>
        <v>20</v>
      </c>
      <c r="AN31" s="22">
        <f t="shared" si="1"/>
        <v>0.64516129032258063</v>
      </c>
      <c r="AO31" s="35">
        <f t="shared" si="2"/>
        <v>17</v>
      </c>
      <c r="AP31" s="34">
        <f t="shared" si="3"/>
        <v>0</v>
      </c>
      <c r="AQ31" s="36">
        <f t="shared" si="4"/>
        <v>1</v>
      </c>
      <c r="AR31" s="36">
        <f t="shared" si="5"/>
        <v>0</v>
      </c>
      <c r="AS31" s="36">
        <f t="shared" si="6"/>
        <v>0</v>
      </c>
      <c r="AT31" s="36">
        <f t="shared" si="7"/>
        <v>0</v>
      </c>
      <c r="AU31" s="53">
        <f t="shared" si="8"/>
        <v>0</v>
      </c>
    </row>
    <row r="32" spans="2:47" ht="18" customHeight="1" x14ac:dyDescent="0.45">
      <c r="B32" s="18">
        <v>27</v>
      </c>
      <c r="C32" s="11" t="s">
        <v>104</v>
      </c>
      <c r="D32" s="11"/>
      <c r="E32" s="11">
        <v>2026010571</v>
      </c>
      <c r="F32" s="14">
        <v>46048</v>
      </c>
      <c r="G32" s="23"/>
      <c r="H32" s="29" t="s">
        <v>52</v>
      </c>
      <c r="I32" s="29" t="s">
        <v>7</v>
      </c>
      <c r="J32" s="29" t="s">
        <v>7</v>
      </c>
      <c r="K32" s="15" t="s">
        <v>7</v>
      </c>
      <c r="L32" s="29" t="s">
        <v>7</v>
      </c>
      <c r="M32" s="15" t="s">
        <v>7</v>
      </c>
      <c r="N32" s="15" t="s">
        <v>128</v>
      </c>
      <c r="O32" s="15" t="s">
        <v>128</v>
      </c>
      <c r="P32" s="29" t="s">
        <v>52</v>
      </c>
      <c r="Q32" s="29" t="s">
        <v>52</v>
      </c>
      <c r="R32" s="15" t="s">
        <v>7</v>
      </c>
      <c r="S32" s="15" t="s">
        <v>7</v>
      </c>
      <c r="T32" s="15" t="s">
        <v>7</v>
      </c>
      <c r="U32" s="15" t="s">
        <v>7</v>
      </c>
      <c r="V32" s="15" t="s">
        <v>7</v>
      </c>
      <c r="W32" s="29" t="s">
        <v>52</v>
      </c>
      <c r="X32" s="29" t="s">
        <v>52</v>
      </c>
      <c r="Y32" s="15" t="s">
        <v>128</v>
      </c>
      <c r="Z32" s="15" t="s">
        <v>7</v>
      </c>
      <c r="AA32" s="15" t="s">
        <v>12</v>
      </c>
      <c r="AB32" s="15" t="s">
        <v>7</v>
      </c>
      <c r="AC32" s="15" t="s">
        <v>7</v>
      </c>
      <c r="AD32" s="29" t="s">
        <v>8</v>
      </c>
      <c r="AE32" s="29" t="s">
        <v>52</v>
      </c>
      <c r="AF32" s="29" t="s">
        <v>52</v>
      </c>
      <c r="AG32" s="15" t="s">
        <v>128</v>
      </c>
      <c r="AH32" s="15" t="s">
        <v>7</v>
      </c>
      <c r="AI32" s="15" t="s">
        <v>7</v>
      </c>
      <c r="AJ32" s="15" t="s">
        <v>7</v>
      </c>
      <c r="AK32" s="29" t="s">
        <v>7</v>
      </c>
      <c r="AL32" s="29" t="s">
        <v>7</v>
      </c>
      <c r="AM32" s="21">
        <f t="shared" si="0"/>
        <v>20</v>
      </c>
      <c r="AN32" s="22">
        <f t="shared" ref="AN32" si="10">AM32/$AL$5</f>
        <v>0.64516129032258063</v>
      </c>
      <c r="AO32" s="35">
        <f t="shared" si="2"/>
        <v>18</v>
      </c>
      <c r="AP32" s="34">
        <f t="shared" si="3"/>
        <v>0</v>
      </c>
      <c r="AQ32" s="36">
        <f t="shared" si="4"/>
        <v>1</v>
      </c>
      <c r="AR32" s="36">
        <f t="shared" si="5"/>
        <v>0</v>
      </c>
      <c r="AS32" s="36">
        <f t="shared" si="6"/>
        <v>0</v>
      </c>
      <c r="AT32" s="36">
        <f t="shared" si="7"/>
        <v>0</v>
      </c>
      <c r="AU32" s="53">
        <f t="shared" si="8"/>
        <v>1</v>
      </c>
    </row>
    <row r="33" spans="2:47" ht="18" customHeight="1" x14ac:dyDescent="0.45">
      <c r="B33" s="18">
        <v>28</v>
      </c>
      <c r="C33" s="11" t="s">
        <v>117</v>
      </c>
      <c r="D33" s="11"/>
      <c r="E33" s="11">
        <v>2026030214</v>
      </c>
      <c r="F33" s="14">
        <v>46092</v>
      </c>
      <c r="G33" s="23"/>
      <c r="H33" s="29" t="s">
        <v>52</v>
      </c>
      <c r="I33" s="29" t="s">
        <v>7</v>
      </c>
      <c r="J33" s="29" t="s">
        <v>7</v>
      </c>
      <c r="K33" s="15" t="s">
        <v>7</v>
      </c>
      <c r="L33" s="29" t="s">
        <v>7</v>
      </c>
      <c r="M33" s="15" t="s">
        <v>7</v>
      </c>
      <c r="N33" s="15" t="s">
        <v>128</v>
      </c>
      <c r="O33" s="15" t="s">
        <v>128</v>
      </c>
      <c r="P33" s="29" t="s">
        <v>52</v>
      </c>
      <c r="Q33" s="29" t="s">
        <v>52</v>
      </c>
      <c r="R33" s="15" t="s">
        <v>7</v>
      </c>
      <c r="S33" s="15" t="s">
        <v>7</v>
      </c>
      <c r="T33" s="15" t="s">
        <v>7</v>
      </c>
      <c r="U33" s="15" t="s">
        <v>7</v>
      </c>
      <c r="V33" s="15" t="s">
        <v>7</v>
      </c>
      <c r="W33" s="29" t="s">
        <v>52</v>
      </c>
      <c r="X33" s="29" t="s">
        <v>52</v>
      </c>
      <c r="Y33" s="15" t="s">
        <v>128</v>
      </c>
      <c r="Z33" s="15" t="s">
        <v>10</v>
      </c>
      <c r="AA33" s="15" t="s">
        <v>10</v>
      </c>
      <c r="AB33" s="15" t="s">
        <v>7</v>
      </c>
      <c r="AC33" s="15" t="s">
        <v>8</v>
      </c>
      <c r="AD33" s="29" t="s">
        <v>7</v>
      </c>
      <c r="AE33" s="29" t="s">
        <v>52</v>
      </c>
      <c r="AF33" s="29" t="s">
        <v>52</v>
      </c>
      <c r="AG33" s="15" t="s">
        <v>128</v>
      </c>
      <c r="AH33" s="15" t="s">
        <v>7</v>
      </c>
      <c r="AI33" s="15" t="s">
        <v>7</v>
      </c>
      <c r="AJ33" s="15" t="s">
        <v>7</v>
      </c>
      <c r="AK33" s="29" t="s">
        <v>7</v>
      </c>
      <c r="AL33" s="29" t="s">
        <v>7</v>
      </c>
      <c r="AM33" s="21">
        <f t="shared" si="0"/>
        <v>20</v>
      </c>
      <c r="AN33" s="22">
        <f t="shared" ref="AN33" si="11">AM33/$AL$5</f>
        <v>0.64516129032258063</v>
      </c>
      <c r="AO33" s="35">
        <f t="shared" si="2"/>
        <v>17</v>
      </c>
      <c r="AP33" s="34">
        <f t="shared" si="3"/>
        <v>0</v>
      </c>
      <c r="AQ33" s="36">
        <f t="shared" si="4"/>
        <v>1</v>
      </c>
      <c r="AR33" s="36">
        <f t="shared" si="5"/>
        <v>0</v>
      </c>
      <c r="AS33" s="36">
        <f t="shared" si="6"/>
        <v>2</v>
      </c>
      <c r="AT33" s="36">
        <f t="shared" si="7"/>
        <v>0</v>
      </c>
      <c r="AU33" s="53">
        <f t="shared" si="8"/>
        <v>0</v>
      </c>
    </row>
    <row r="34" spans="2:47" ht="18" customHeight="1" x14ac:dyDescent="0.45">
      <c r="B34" s="18">
        <v>29</v>
      </c>
      <c r="C34" s="11" t="s">
        <v>118</v>
      </c>
      <c r="D34" s="11"/>
      <c r="E34" s="11">
        <v>2026040536</v>
      </c>
      <c r="F34" s="14">
        <v>46132</v>
      </c>
      <c r="G34" s="23"/>
      <c r="H34" s="29" t="s">
        <v>7</v>
      </c>
      <c r="I34" s="29" t="s">
        <v>52</v>
      </c>
      <c r="J34" s="29" t="s">
        <v>52</v>
      </c>
      <c r="K34" s="11" t="s">
        <v>128</v>
      </c>
      <c r="L34" s="29" t="s">
        <v>52</v>
      </c>
      <c r="M34" s="11" t="s">
        <v>7</v>
      </c>
      <c r="N34" s="11" t="s">
        <v>7</v>
      </c>
      <c r="O34" s="11" t="s">
        <v>7</v>
      </c>
      <c r="P34" s="29" t="s">
        <v>7</v>
      </c>
      <c r="Q34" s="29" t="s">
        <v>7</v>
      </c>
      <c r="R34" s="11" t="s">
        <v>128</v>
      </c>
      <c r="S34" s="11" t="s">
        <v>128</v>
      </c>
      <c r="T34" s="11" t="s">
        <v>128</v>
      </c>
      <c r="U34" s="11" t="s">
        <v>7</v>
      </c>
      <c r="V34" s="11" t="s">
        <v>7</v>
      </c>
      <c r="W34" s="29" t="s">
        <v>7</v>
      </c>
      <c r="X34" s="29" t="s">
        <v>7</v>
      </c>
      <c r="Y34" s="11" t="s">
        <v>7</v>
      </c>
      <c r="Z34" s="11" t="s">
        <v>128</v>
      </c>
      <c r="AA34" s="11" t="s">
        <v>128</v>
      </c>
      <c r="AB34" s="11" t="s">
        <v>128</v>
      </c>
      <c r="AC34" s="11" t="s">
        <v>7</v>
      </c>
      <c r="AD34" s="29" t="s">
        <v>7</v>
      </c>
      <c r="AE34" s="29" t="s">
        <v>7</v>
      </c>
      <c r="AF34" s="29" t="s">
        <v>7</v>
      </c>
      <c r="AG34" s="11" t="s">
        <v>7</v>
      </c>
      <c r="AH34" s="11" t="s">
        <v>128</v>
      </c>
      <c r="AI34" s="11" t="s">
        <v>128</v>
      </c>
      <c r="AJ34" s="11" t="s">
        <v>128</v>
      </c>
      <c r="AK34" s="29" t="s">
        <v>52</v>
      </c>
      <c r="AL34" s="29" t="s">
        <v>7</v>
      </c>
      <c r="AM34" s="21">
        <f t="shared" si="0"/>
        <v>17</v>
      </c>
      <c r="AN34" s="22">
        <f t="shared" ref="AN34" si="12">AM34/$AL$5</f>
        <v>0.54838709677419351</v>
      </c>
      <c r="AO34" s="35">
        <f t="shared" si="2"/>
        <v>17</v>
      </c>
      <c r="AP34" s="34">
        <f t="shared" si="3"/>
        <v>0</v>
      </c>
      <c r="AQ34" s="36">
        <f t="shared" si="4"/>
        <v>0</v>
      </c>
      <c r="AR34" s="36">
        <f t="shared" si="5"/>
        <v>0</v>
      </c>
      <c r="AS34" s="36">
        <f t="shared" si="6"/>
        <v>0</v>
      </c>
      <c r="AT34" s="36">
        <f t="shared" si="7"/>
        <v>0</v>
      </c>
      <c r="AU34" s="53">
        <f t="shared" si="8"/>
        <v>0</v>
      </c>
    </row>
    <row r="35" spans="2:47" ht="18" customHeight="1" x14ac:dyDescent="0.45">
      <c r="B35" s="60">
        <v>30</v>
      </c>
      <c r="C35" s="61" t="s">
        <v>119</v>
      </c>
      <c r="D35" s="61"/>
      <c r="E35" s="61">
        <v>2026040591</v>
      </c>
      <c r="F35" s="62">
        <v>46133</v>
      </c>
      <c r="G35" s="63"/>
      <c r="H35" s="64" t="s">
        <v>7</v>
      </c>
      <c r="I35" s="64" t="s">
        <v>52</v>
      </c>
      <c r="J35" s="64" t="s">
        <v>52</v>
      </c>
      <c r="K35" s="65" t="s">
        <v>128</v>
      </c>
      <c r="L35" s="64" t="s">
        <v>52</v>
      </c>
      <c r="M35" s="65" t="s">
        <v>12</v>
      </c>
      <c r="N35" s="65" t="s">
        <v>12</v>
      </c>
      <c r="O35" s="65" t="s">
        <v>7</v>
      </c>
      <c r="P35" s="64" t="s">
        <v>7</v>
      </c>
      <c r="Q35" s="64" t="s">
        <v>7</v>
      </c>
      <c r="R35" s="65" t="s">
        <v>128</v>
      </c>
      <c r="S35" s="65" t="s">
        <v>128</v>
      </c>
      <c r="T35" s="65" t="s">
        <v>128</v>
      </c>
      <c r="U35" s="65" t="s">
        <v>7</v>
      </c>
      <c r="V35" s="65" t="s">
        <v>7</v>
      </c>
      <c r="W35" s="64" t="s">
        <v>7</v>
      </c>
      <c r="X35" s="64" t="s">
        <v>7</v>
      </c>
      <c r="Y35" s="65" t="s">
        <v>7</v>
      </c>
      <c r="Z35" s="65" t="s">
        <v>128</v>
      </c>
      <c r="AA35" s="65" t="s">
        <v>128</v>
      </c>
      <c r="AB35" s="65" t="s">
        <v>128</v>
      </c>
      <c r="AC35" s="65" t="s">
        <v>7</v>
      </c>
      <c r="AD35" s="64" t="s">
        <v>8</v>
      </c>
      <c r="AE35" s="64" t="s">
        <v>7</v>
      </c>
      <c r="AF35" s="64" t="s">
        <v>7</v>
      </c>
      <c r="AG35" s="65" t="s">
        <v>7</v>
      </c>
      <c r="AH35" s="65" t="s">
        <v>128</v>
      </c>
      <c r="AI35" s="65" t="s">
        <v>128</v>
      </c>
      <c r="AJ35" s="65" t="s">
        <v>128</v>
      </c>
      <c r="AK35" s="64" t="s">
        <v>52</v>
      </c>
      <c r="AL35" s="64" t="s">
        <v>7</v>
      </c>
      <c r="AM35" s="66">
        <f t="shared" si="0"/>
        <v>17</v>
      </c>
      <c r="AN35" s="67">
        <f t="shared" ref="AN35" si="13">AM35/$AL$5</f>
        <v>0.54838709677419351</v>
      </c>
      <c r="AO35" s="68">
        <f t="shared" si="2"/>
        <v>14</v>
      </c>
      <c r="AP35" s="69">
        <f t="shared" si="3"/>
        <v>0</v>
      </c>
      <c r="AQ35" s="69">
        <f t="shared" si="4"/>
        <v>1</v>
      </c>
      <c r="AR35" s="69">
        <f t="shared" si="5"/>
        <v>0</v>
      </c>
      <c r="AS35" s="69">
        <f t="shared" si="6"/>
        <v>0</v>
      </c>
      <c r="AT35" s="69">
        <f t="shared" si="7"/>
        <v>0</v>
      </c>
      <c r="AU35" s="70">
        <f t="shared" si="8"/>
        <v>2</v>
      </c>
    </row>
    <row r="36" spans="2:47" ht="18" customHeight="1" thickBot="1" x14ac:dyDescent="0.5">
      <c r="B36" s="71">
        <v>31</v>
      </c>
      <c r="C36" s="72" t="s">
        <v>130</v>
      </c>
      <c r="D36" s="72"/>
      <c r="E36" s="72">
        <v>2026050106</v>
      </c>
      <c r="F36" s="73">
        <v>46156</v>
      </c>
      <c r="G36" s="74"/>
      <c r="H36" s="75" t="s">
        <v>128</v>
      </c>
      <c r="I36" s="75" t="s">
        <v>52</v>
      </c>
      <c r="J36" s="75" t="s">
        <v>52</v>
      </c>
      <c r="K36" s="11" t="s">
        <v>128</v>
      </c>
      <c r="L36" s="75" t="s">
        <v>128</v>
      </c>
      <c r="M36" s="11" t="s">
        <v>128</v>
      </c>
      <c r="N36" s="11" t="s">
        <v>128</v>
      </c>
      <c r="O36" s="11" t="s">
        <v>128</v>
      </c>
      <c r="P36" s="75" t="s">
        <v>128</v>
      </c>
      <c r="Q36" s="75" t="s">
        <v>128</v>
      </c>
      <c r="R36" s="11" t="s">
        <v>128</v>
      </c>
      <c r="S36" s="11" t="s">
        <v>128</v>
      </c>
      <c r="T36" s="11" t="s">
        <v>128</v>
      </c>
      <c r="U36" s="11" t="s">
        <v>11</v>
      </c>
      <c r="V36" s="11" t="s">
        <v>11</v>
      </c>
      <c r="W36" s="75" t="s">
        <v>128</v>
      </c>
      <c r="X36" s="75" t="s">
        <v>128</v>
      </c>
      <c r="Y36" s="11" t="s">
        <v>7</v>
      </c>
      <c r="Z36" s="11" t="s">
        <v>7</v>
      </c>
      <c r="AA36" s="11" t="s">
        <v>12</v>
      </c>
      <c r="AB36" s="11" t="s">
        <v>128</v>
      </c>
      <c r="AC36" s="11" t="s">
        <v>128</v>
      </c>
      <c r="AD36" s="75" t="s">
        <v>128</v>
      </c>
      <c r="AE36" s="75" t="s">
        <v>7</v>
      </c>
      <c r="AF36" s="75" t="s">
        <v>7</v>
      </c>
      <c r="AG36" s="11" t="s">
        <v>7</v>
      </c>
      <c r="AH36" s="11" t="s">
        <v>7</v>
      </c>
      <c r="AI36" s="11" t="s">
        <v>7</v>
      </c>
      <c r="AJ36" s="11" t="s">
        <v>128</v>
      </c>
      <c r="AK36" s="75" t="s">
        <v>52</v>
      </c>
      <c r="AL36" s="75" t="s">
        <v>128</v>
      </c>
      <c r="AM36" s="54">
        <f t="shared" ref="AM36" si="14">$AL$5-(COUNTIF(H36:AL36,"퇴사")+COUNTIF(H36:AL36,"/")+COUNTIF(H36:AL36,"교육")+COUNTIF(H36:AL36,"결근"))</f>
        <v>8</v>
      </c>
      <c r="AN36" s="55">
        <f t="shared" ref="AN36" si="15">AM36/$AL$5</f>
        <v>0.25806451612903225</v>
      </c>
      <c r="AO36" s="56">
        <f t="shared" ref="AO36" si="16">COUNTIF(H36:AL36,"출근")</f>
        <v>7</v>
      </c>
      <c r="AP36" s="57">
        <f t="shared" ref="AP36" si="17">COUNTIF(H36:AL36,"재택")</f>
        <v>0</v>
      </c>
      <c r="AQ36" s="57">
        <f t="shared" ref="AQ36" si="18">COUNTIF(H36:AL36,"연차")</f>
        <v>0</v>
      </c>
      <c r="AR36" s="57">
        <f t="shared" ref="AR36" si="19">COUNTIF(H36:AL36,"결근")</f>
        <v>0</v>
      </c>
      <c r="AS36" s="57">
        <f t="shared" ref="AS36" si="20">COUNTIF(H36:AL36,"공가")</f>
        <v>0</v>
      </c>
      <c r="AT36" s="57">
        <f t="shared" ref="AT36" si="21">COUNTIF(H36:AL36,"교육")</f>
        <v>2</v>
      </c>
      <c r="AU36" s="58">
        <f t="shared" ref="AU36" si="22">COUNTIF(H36:AL36,"지각")</f>
        <v>1</v>
      </c>
    </row>
  </sheetData>
  <mergeCells count="2">
    <mergeCell ref="B1:AU1"/>
    <mergeCell ref="B5:C5"/>
  </mergeCells>
  <phoneticPr fontId="3" type="noConversion"/>
  <conditionalFormatting sqref="H27:L27">
    <cfRule type="containsText" dxfId="139" priority="142" operator="containsText" text="반차">
      <formula>NOT(ISERROR(SEARCH("반차",H27)))</formula>
    </cfRule>
    <cfRule type="containsText" dxfId="138" priority="143" operator="containsText" text="연차">
      <formula>NOT(ISERROR(SEARCH("연차",H27)))</formula>
    </cfRule>
    <cfRule type="containsText" dxfId="137" priority="141" operator="containsText" text="지각">
      <formula>NOT(ISERROR(SEARCH("지각",H27)))</formula>
    </cfRule>
    <cfRule type="containsText" dxfId="136" priority="144" operator="containsText" text="공가">
      <formula>NOT(ISERROR(SEARCH("공가",H27)))</formula>
    </cfRule>
  </conditionalFormatting>
  <conditionalFormatting sqref="H30:L30">
    <cfRule type="containsText" dxfId="135" priority="109" operator="containsText" text="공가">
      <formula>NOT(ISERROR(SEARCH("공가",H30)))</formula>
    </cfRule>
    <cfRule type="containsText" dxfId="134" priority="108" operator="containsText" text="연차">
      <formula>NOT(ISERROR(SEARCH("연차",H30)))</formula>
    </cfRule>
    <cfRule type="containsText" dxfId="133" priority="107" operator="containsText" text="반차">
      <formula>NOT(ISERROR(SEARCH("반차",H30)))</formula>
    </cfRule>
    <cfRule type="containsText" dxfId="132" priority="106" operator="containsText" text="지각">
      <formula>NOT(ISERROR(SEARCH("지각",H30)))</formula>
    </cfRule>
  </conditionalFormatting>
  <conditionalFormatting sqref="H34:L35">
    <cfRule type="containsText" dxfId="131" priority="72" operator="containsText" text="반차">
      <formula>NOT(ISERROR(SEARCH("반차",H34)))</formula>
    </cfRule>
    <cfRule type="containsText" dxfId="130" priority="71" operator="containsText" text="지각">
      <formula>NOT(ISERROR(SEARCH("지각",H34)))</formula>
    </cfRule>
    <cfRule type="containsText" dxfId="129" priority="74" operator="containsText" text="공가">
      <formula>NOT(ISERROR(SEARCH("공가",H34)))</formula>
    </cfRule>
    <cfRule type="containsText" dxfId="128" priority="73" operator="containsText" text="연차">
      <formula>NOT(ISERROR(SEARCH("연차",H34)))</formula>
    </cfRule>
  </conditionalFormatting>
  <conditionalFormatting sqref="H36:L36">
    <cfRule type="containsText" dxfId="127" priority="13" operator="containsText" text="지각">
      <formula>NOT(ISERROR(SEARCH("지각",H36)))</formula>
    </cfRule>
    <cfRule type="containsText" dxfId="126" priority="14" operator="containsText" text="반차">
      <formula>NOT(ISERROR(SEARCH("반차",H36)))</formula>
    </cfRule>
    <cfRule type="containsText" dxfId="125" priority="15" operator="containsText" text="연차">
      <formula>NOT(ISERROR(SEARCH("연차",H36)))</formula>
    </cfRule>
    <cfRule type="containsText" dxfId="124" priority="16" operator="containsText" text="공가">
      <formula>NOT(ISERROR(SEARCH("공가",H36)))</formula>
    </cfRule>
  </conditionalFormatting>
  <conditionalFormatting sqref="H6:Q18">
    <cfRule type="containsText" dxfId="123" priority="731" operator="containsText" text="지각">
      <formula>NOT(ISERROR(SEARCH("지각",H6)))</formula>
    </cfRule>
  </conditionalFormatting>
  <conditionalFormatting sqref="H6:S18">
    <cfRule type="containsText" dxfId="122" priority="732" operator="containsText" text="반차">
      <formula>NOT(ISERROR(SEARCH("반차",H6)))</formula>
    </cfRule>
    <cfRule type="containsText" dxfId="121" priority="733" operator="containsText" text="연차">
      <formula>NOT(ISERROR(SEARCH("연차",H6)))</formula>
    </cfRule>
    <cfRule type="containsText" dxfId="120" priority="734" operator="containsText" text="공가">
      <formula>NOT(ISERROR(SEARCH("공가",H6)))</formula>
    </cfRule>
  </conditionalFormatting>
  <conditionalFormatting sqref="H19:S19">
    <cfRule type="containsText" dxfId="119" priority="1256" operator="containsText" text="지각">
      <formula>NOT(ISERROR(SEARCH("지각",H19)))</formula>
    </cfRule>
  </conditionalFormatting>
  <conditionalFormatting sqref="H19:V19">
    <cfRule type="containsText" dxfId="118" priority="1257" operator="containsText" text="반차">
      <formula>NOT(ISERROR(SEARCH("반차",H19)))</formula>
    </cfRule>
    <cfRule type="containsText" dxfId="117" priority="1258" operator="containsText" text="연차">
      <formula>NOT(ISERROR(SEARCH("연차",H19)))</formula>
    </cfRule>
    <cfRule type="containsText" dxfId="116" priority="1259" operator="containsText" text="공가">
      <formula>NOT(ISERROR(SEARCH("공가",H19)))</formula>
    </cfRule>
  </conditionalFormatting>
  <conditionalFormatting sqref="H20:V26">
    <cfRule type="containsText" dxfId="115" priority="27" operator="containsText" text="반차">
      <formula>NOT(ISERROR(SEARCH("반차",H20)))</formula>
    </cfRule>
    <cfRule type="containsText" dxfId="114" priority="28" operator="containsText" text="연차">
      <formula>NOT(ISERROR(SEARCH("연차",H20)))</formula>
    </cfRule>
    <cfRule type="containsText" dxfId="113" priority="29" operator="containsText" text="공가">
      <formula>NOT(ISERROR(SEARCH("공가",H20)))</formula>
    </cfRule>
    <cfRule type="containsText" dxfId="112" priority="25" operator="containsText" text="지각">
      <formula>NOT(ISERROR(SEARCH("지각",H20)))</formula>
    </cfRule>
  </conditionalFormatting>
  <conditionalFormatting sqref="H28:V29">
    <cfRule type="containsText" dxfId="111" priority="209" operator="containsText" text="지각">
      <formula>NOT(ISERROR(SEARCH("지각",H28)))</formula>
    </cfRule>
    <cfRule type="containsText" dxfId="110" priority="210" operator="containsText" text="반차">
      <formula>NOT(ISERROR(SEARCH("반차",H28)))</formula>
    </cfRule>
    <cfRule type="containsText" dxfId="109" priority="211" operator="containsText" text="연차">
      <formula>NOT(ISERROR(SEARCH("연차",H28)))</formula>
    </cfRule>
    <cfRule type="containsText" dxfId="108" priority="212" operator="containsText" text="공가">
      <formula>NOT(ISERROR(SEARCH("공가",H28)))</formula>
    </cfRule>
  </conditionalFormatting>
  <conditionalFormatting sqref="H31:V33">
    <cfRule type="containsText" dxfId="107" priority="159" operator="containsText" text="반차">
      <formula>NOT(ISERROR(SEARCH("반차",H31)))</formula>
    </cfRule>
    <cfRule type="containsText" dxfId="106" priority="161" operator="containsText" text="공가">
      <formula>NOT(ISERROR(SEARCH("공가",H31)))</formula>
    </cfRule>
    <cfRule type="containsText" dxfId="105" priority="157" operator="containsText" text="지각">
      <formula>NOT(ISERROR(SEARCH("지각",H31)))</formula>
    </cfRule>
    <cfRule type="containsText" dxfId="104" priority="160" operator="containsText" text="연차">
      <formula>NOT(ISERROR(SEARCH("연차",H31)))</formula>
    </cfRule>
  </conditionalFormatting>
  <conditionalFormatting sqref="K19">
    <cfRule type="containsText" dxfId="103" priority="1806" operator="containsText" text="연차">
      <formula>NOT(ISERROR(SEARCH("연차",K19)))</formula>
    </cfRule>
    <cfRule type="containsText" dxfId="102" priority="1807" operator="containsText" text="공가">
      <formula>NOT(ISERROR(SEARCH("공가",K19)))</formula>
    </cfRule>
    <cfRule type="containsText" dxfId="101" priority="1804" operator="containsText" text="지각">
      <formula>NOT(ISERROR(SEARCH("지각",K19)))</formula>
    </cfRule>
    <cfRule type="containsText" dxfId="100" priority="1805" operator="containsText" text="반차">
      <formula>NOT(ISERROR(SEARCH("반차",K19)))</formula>
    </cfRule>
  </conditionalFormatting>
  <conditionalFormatting sqref="K27 M27:O27">
    <cfRule type="containsText" dxfId="99" priority="136" operator="containsText" text="공가">
      <formula>NOT(ISERROR(SEARCH("공가",K27)))</formula>
    </cfRule>
    <cfRule type="containsText" dxfId="98" priority="133" operator="containsText" text="지각">
      <formula>NOT(ISERROR(SEARCH("지각",K27)))</formula>
    </cfRule>
    <cfRule type="containsText" dxfId="97" priority="134" operator="containsText" text="반차">
      <formula>NOT(ISERROR(SEARCH("반차",K27)))</formula>
    </cfRule>
    <cfRule type="containsText" dxfId="96" priority="135" operator="containsText" text="연차">
      <formula>NOT(ISERROR(SEARCH("연차",K27)))</formula>
    </cfRule>
  </conditionalFormatting>
  <conditionalFormatting sqref="K30 M30:O30">
    <cfRule type="containsText" dxfId="95" priority="98" operator="containsText" text="지각">
      <formula>NOT(ISERROR(SEARCH("지각",K30)))</formula>
    </cfRule>
    <cfRule type="containsText" dxfId="94" priority="99" operator="containsText" text="반차">
      <formula>NOT(ISERROR(SEARCH("반차",K30)))</formula>
    </cfRule>
    <cfRule type="containsText" dxfId="93" priority="100" operator="containsText" text="연차">
      <formula>NOT(ISERROR(SEARCH("연차",K30)))</formula>
    </cfRule>
    <cfRule type="containsText" dxfId="92" priority="101" operator="containsText" text="공가">
      <formula>NOT(ISERROR(SEARCH("공가",K30)))</formula>
    </cfRule>
  </conditionalFormatting>
  <conditionalFormatting sqref="K34:K36 M34:O36">
    <cfRule type="containsText" dxfId="91" priority="66" operator="containsText" text="공가">
      <formula>NOT(ISERROR(SEARCH("공가",K34)))</formula>
    </cfRule>
    <cfRule type="containsText" dxfId="90" priority="65" operator="containsText" text="연차">
      <formula>NOT(ISERROR(SEARCH("연차",K34)))</formula>
    </cfRule>
    <cfRule type="containsText" dxfId="89" priority="64" operator="containsText" text="반차">
      <formula>NOT(ISERROR(SEARCH("반차",K34)))</formula>
    </cfRule>
    <cfRule type="containsText" dxfId="88" priority="63" operator="containsText" text="지각">
      <formula>NOT(ISERROR(SEARCH("지각",K34)))</formula>
    </cfRule>
  </conditionalFormatting>
  <conditionalFormatting sqref="O19">
    <cfRule type="containsText" dxfId="87" priority="1776" operator="containsText" text="지각">
      <formula>NOT(ISERROR(SEARCH("지각",O19)))</formula>
    </cfRule>
    <cfRule type="containsText" dxfId="86" priority="1777" operator="containsText" text="반차">
      <formula>NOT(ISERROR(SEARCH("반차",O19)))</formula>
    </cfRule>
    <cfRule type="containsText" dxfId="85" priority="1778" operator="containsText" text="연차">
      <formula>NOT(ISERROR(SEARCH("연차",O19)))</formula>
    </cfRule>
    <cfRule type="containsText" dxfId="84" priority="1779" operator="containsText" text="공가">
      <formula>NOT(ISERROR(SEARCH("공가",O19)))</formula>
    </cfRule>
  </conditionalFormatting>
  <conditionalFormatting sqref="O27:S27">
    <cfRule type="containsText" dxfId="83" priority="140" operator="containsText" text="공가">
      <formula>NOT(ISERROR(SEARCH("공가",O27)))</formula>
    </cfRule>
    <cfRule type="containsText" dxfId="82" priority="139" operator="containsText" text="연차">
      <formula>NOT(ISERROR(SEARCH("연차",O27)))</formula>
    </cfRule>
    <cfRule type="containsText" dxfId="81" priority="138" operator="containsText" text="반차">
      <formula>NOT(ISERROR(SEARCH("반차",O27)))</formula>
    </cfRule>
    <cfRule type="containsText" dxfId="80" priority="137" operator="containsText" text="지각">
      <formula>NOT(ISERROR(SEARCH("지각",O27)))</formula>
    </cfRule>
  </conditionalFormatting>
  <conditionalFormatting sqref="O30:S30">
    <cfRule type="containsText" dxfId="79" priority="103" operator="containsText" text="반차">
      <formula>NOT(ISERROR(SEARCH("반차",O30)))</formula>
    </cfRule>
    <cfRule type="containsText" dxfId="78" priority="102" operator="containsText" text="지각">
      <formula>NOT(ISERROR(SEARCH("지각",O30)))</formula>
    </cfRule>
    <cfRule type="containsText" dxfId="77" priority="104" operator="containsText" text="연차">
      <formula>NOT(ISERROR(SEARCH("연차",O30)))</formula>
    </cfRule>
    <cfRule type="containsText" dxfId="76" priority="105" operator="containsText" text="공가">
      <formula>NOT(ISERROR(SEARCH("공가",O30)))</formula>
    </cfRule>
  </conditionalFormatting>
  <conditionalFormatting sqref="O34:S35">
    <cfRule type="containsText" dxfId="75" priority="70" operator="containsText" text="공가">
      <formula>NOT(ISERROR(SEARCH("공가",O34)))</formula>
    </cfRule>
    <cfRule type="containsText" dxfId="74" priority="68" operator="containsText" text="반차">
      <formula>NOT(ISERROR(SEARCH("반차",O34)))</formula>
    </cfRule>
    <cfRule type="containsText" dxfId="73" priority="69" operator="containsText" text="연차">
      <formula>NOT(ISERROR(SEARCH("연차",O34)))</formula>
    </cfRule>
    <cfRule type="containsText" dxfId="72" priority="67" operator="containsText" text="지각">
      <formula>NOT(ISERROR(SEARCH("지각",O34)))</formula>
    </cfRule>
  </conditionalFormatting>
  <conditionalFormatting sqref="O36:S36">
    <cfRule type="containsText" dxfId="71" priority="10" operator="containsText" text="반차">
      <formula>NOT(ISERROR(SEARCH("반차",O36)))</formula>
    </cfRule>
    <cfRule type="containsText" dxfId="70" priority="12" operator="containsText" text="공가">
      <formula>NOT(ISERROR(SEARCH("공가",O36)))</formula>
    </cfRule>
    <cfRule type="containsText" dxfId="69" priority="11" operator="containsText" text="연차">
      <formula>NOT(ISERROR(SEARCH("연차",O36)))</formula>
    </cfRule>
    <cfRule type="containsText" dxfId="68" priority="9" operator="containsText" text="지각">
      <formula>NOT(ISERROR(SEARCH("지각",O36)))</formula>
    </cfRule>
  </conditionalFormatting>
  <conditionalFormatting sqref="R19">
    <cfRule type="containsText" dxfId="67" priority="950" operator="containsText" text="연차">
      <formula>NOT(ISERROR(SEARCH("연차",R19)))</formula>
    </cfRule>
    <cfRule type="containsText" dxfId="66" priority="951" operator="containsText" text="공가">
      <formula>NOT(ISERROR(SEARCH("공가",R19)))</formula>
    </cfRule>
    <cfRule type="containsText" dxfId="65" priority="949" operator="containsText" text="반차">
      <formula>NOT(ISERROR(SEARCH("반차",R19)))</formula>
    </cfRule>
    <cfRule type="containsText" dxfId="64" priority="948" operator="containsText" text="지각">
      <formula>NOT(ISERROR(SEARCH("지각",R19)))</formula>
    </cfRule>
  </conditionalFormatting>
  <conditionalFormatting sqref="R27">
    <cfRule type="containsText" dxfId="63" priority="124" operator="containsText" text="연차">
      <formula>NOT(ISERROR(SEARCH("연차",R27)))</formula>
    </cfRule>
    <cfRule type="containsText" dxfId="62" priority="123" operator="containsText" text="반차">
      <formula>NOT(ISERROR(SEARCH("반차",R27)))</formula>
    </cfRule>
    <cfRule type="containsText" dxfId="61" priority="122" operator="containsText" text="지각">
      <formula>NOT(ISERROR(SEARCH("지각",R27)))</formula>
    </cfRule>
    <cfRule type="containsText" dxfId="60" priority="125" operator="containsText" text="공가">
      <formula>NOT(ISERROR(SEARCH("공가",R27)))</formula>
    </cfRule>
  </conditionalFormatting>
  <conditionalFormatting sqref="R30">
    <cfRule type="containsText" dxfId="59" priority="90" operator="containsText" text="공가">
      <formula>NOT(ISERROR(SEARCH("공가",R30)))</formula>
    </cfRule>
    <cfRule type="containsText" dxfId="58" priority="89" operator="containsText" text="연차">
      <formula>NOT(ISERROR(SEARCH("연차",R30)))</formula>
    </cfRule>
    <cfRule type="containsText" dxfId="57" priority="88" operator="containsText" text="반차">
      <formula>NOT(ISERROR(SEARCH("반차",R30)))</formula>
    </cfRule>
    <cfRule type="containsText" dxfId="56" priority="87" operator="containsText" text="지각">
      <formula>NOT(ISERROR(SEARCH("지각",R30)))</formula>
    </cfRule>
  </conditionalFormatting>
  <conditionalFormatting sqref="R34:R36">
    <cfRule type="containsText" dxfId="55" priority="54" operator="containsText" text="연차">
      <formula>NOT(ISERROR(SEARCH("연차",R34)))</formula>
    </cfRule>
    <cfRule type="containsText" dxfId="54" priority="52" operator="containsText" text="지각">
      <formula>NOT(ISERROR(SEARCH("지각",R34)))</formula>
    </cfRule>
    <cfRule type="containsText" dxfId="53" priority="53" operator="containsText" text="반차">
      <formula>NOT(ISERROR(SEARCH("반차",R34)))</formula>
    </cfRule>
    <cfRule type="containsText" dxfId="52" priority="55" operator="containsText" text="공가">
      <formula>NOT(ISERROR(SEARCH("공가",R34)))</formula>
    </cfRule>
  </conditionalFormatting>
  <conditionalFormatting sqref="R8:S18">
    <cfRule type="containsText" dxfId="51" priority="599" operator="containsText" text="지각">
      <formula>NOT(ISERROR(SEARCH("지각",R8)))</formula>
    </cfRule>
  </conditionalFormatting>
  <conditionalFormatting sqref="R6:V7">
    <cfRule type="containsText" dxfId="50" priority="605" operator="containsText" text="지각">
      <formula>NOT(ISERROR(SEARCH("지각",R6)))</formula>
    </cfRule>
  </conditionalFormatting>
  <conditionalFormatting sqref="R14:V14">
    <cfRule type="containsText" dxfId="49" priority="721" operator="containsText" text="지각">
      <formula>NOT(ISERROR(SEARCH("지각",R14)))</formula>
    </cfRule>
  </conditionalFormatting>
  <conditionalFormatting sqref="T6:V8">
    <cfRule type="containsText" dxfId="48" priority="1249" operator="containsText" text="반차">
      <formula>NOT(ISERROR(SEARCH("반차",T6)))</formula>
    </cfRule>
    <cfRule type="containsText" dxfId="47" priority="1250" operator="containsText" text="연차">
      <formula>NOT(ISERROR(SEARCH("연차",T6)))</formula>
    </cfRule>
    <cfRule type="containsText" dxfId="46" priority="1251" operator="containsText" text="공가">
      <formula>NOT(ISERROR(SEARCH("공가",T6)))</formula>
    </cfRule>
  </conditionalFormatting>
  <conditionalFormatting sqref="T8:V13">
    <cfRule type="containsText" dxfId="45" priority="277" operator="containsText" text="지각">
      <formula>NOT(ISERROR(SEARCH("지각",T8)))</formula>
    </cfRule>
  </conditionalFormatting>
  <conditionalFormatting sqref="T9:V12">
    <cfRule type="containsText" dxfId="44" priority="280" operator="containsText" text="공가">
      <formula>NOT(ISERROR(SEARCH("공가",T9)))</formula>
    </cfRule>
    <cfRule type="containsText" dxfId="43" priority="279" operator="containsText" text="연차">
      <formula>NOT(ISERROR(SEARCH("연차",T9)))</formula>
    </cfRule>
    <cfRule type="containsText" dxfId="42" priority="278" operator="containsText" text="반차">
      <formula>NOT(ISERROR(SEARCH("반차",T9)))</formula>
    </cfRule>
  </conditionalFormatting>
  <conditionalFormatting sqref="T13:V14">
    <cfRule type="containsText" dxfId="41" priority="723" operator="containsText" text="연차">
      <formula>NOT(ISERROR(SEARCH("연차",T13)))</formula>
    </cfRule>
    <cfRule type="containsText" dxfId="40" priority="724" operator="containsText" text="공가">
      <formula>NOT(ISERROR(SEARCH("공가",T13)))</formula>
    </cfRule>
    <cfRule type="containsText" dxfId="39" priority="722" operator="containsText" text="반차">
      <formula>NOT(ISERROR(SEARCH("반차",T13)))</formula>
    </cfRule>
  </conditionalFormatting>
  <conditionalFormatting sqref="T15:V18">
    <cfRule type="containsText" dxfId="38" priority="268" operator="containsText" text="공가">
      <formula>NOT(ISERROR(SEARCH("공가",T15)))</formula>
    </cfRule>
    <cfRule type="containsText" dxfId="37" priority="267" operator="containsText" text="연차">
      <formula>NOT(ISERROR(SEARCH("연차",T15)))</formula>
    </cfRule>
    <cfRule type="containsText" dxfId="36" priority="266" operator="containsText" text="반차">
      <formula>NOT(ISERROR(SEARCH("반차",T15)))</formula>
    </cfRule>
  </conditionalFormatting>
  <conditionalFormatting sqref="T15:V19">
    <cfRule type="containsText" dxfId="35" priority="265" operator="containsText" text="지각">
      <formula>NOT(ISERROR(SEARCH("지각",T15)))</formula>
    </cfRule>
  </conditionalFormatting>
  <conditionalFormatting sqref="T27:V27">
    <cfRule type="containsText" dxfId="34" priority="132" operator="containsText" text="공가">
      <formula>NOT(ISERROR(SEARCH("공가",T27)))</formula>
    </cfRule>
    <cfRule type="containsText" dxfId="33" priority="131" operator="containsText" text="연차">
      <formula>NOT(ISERROR(SEARCH("연차",T27)))</formula>
    </cfRule>
    <cfRule type="containsText" dxfId="32" priority="130" operator="containsText" text="반차">
      <formula>NOT(ISERROR(SEARCH("반차",T27)))</formula>
    </cfRule>
    <cfRule type="containsText" dxfId="31" priority="126" operator="containsText" text="지각">
      <formula>NOT(ISERROR(SEARCH("지각",T27)))</formula>
    </cfRule>
  </conditionalFormatting>
  <conditionalFormatting sqref="T30:V30">
    <cfRule type="containsText" dxfId="30" priority="91" operator="containsText" text="지각">
      <formula>NOT(ISERROR(SEARCH("지각",T30)))</formula>
    </cfRule>
    <cfRule type="containsText" dxfId="29" priority="95" operator="containsText" text="반차">
      <formula>NOT(ISERROR(SEARCH("반차",T30)))</formula>
    </cfRule>
    <cfRule type="containsText" dxfId="28" priority="96" operator="containsText" text="연차">
      <formula>NOT(ISERROR(SEARCH("연차",T30)))</formula>
    </cfRule>
    <cfRule type="containsText" dxfId="27" priority="97" operator="containsText" text="공가">
      <formula>NOT(ISERROR(SEARCH("공가",T30)))</formula>
    </cfRule>
  </conditionalFormatting>
  <conditionalFormatting sqref="T34:V36">
    <cfRule type="containsText" dxfId="26" priority="6" operator="containsText" text="반차">
      <formula>NOT(ISERROR(SEARCH("반차",T34)))</formula>
    </cfRule>
    <cfRule type="containsText" dxfId="25" priority="5" operator="containsText" text="지각">
      <formula>NOT(ISERROR(SEARCH("지각",T34)))</formula>
    </cfRule>
    <cfRule type="containsText" dxfId="24" priority="7" operator="containsText" text="연차">
      <formula>NOT(ISERROR(SEARCH("연차",T34)))</formula>
    </cfRule>
    <cfRule type="containsText" dxfId="23" priority="8" operator="containsText" text="공가">
      <formula>NOT(ISERROR(SEARCH("공가",T34)))</formula>
    </cfRule>
  </conditionalFormatting>
  <conditionalFormatting sqref="W6:AF36">
    <cfRule type="containsText" dxfId="22" priority="22" operator="containsText" text="반차">
      <formula>NOT(ISERROR(SEARCH("반차",W6)))</formula>
    </cfRule>
    <cfRule type="containsText" dxfId="21" priority="23" operator="containsText" text="연차">
      <formula>NOT(ISERROR(SEARCH("연차",W6)))</formula>
    </cfRule>
    <cfRule type="containsText" dxfId="20" priority="21" operator="containsText" text="지각">
      <formula>NOT(ISERROR(SEARCH("지각",W6)))</formula>
    </cfRule>
    <cfRule type="containsText" dxfId="19" priority="24" operator="containsText" text="공가">
      <formula>NOT(ISERROR(SEARCH("공가",W6)))</formula>
    </cfRule>
  </conditionalFormatting>
  <conditionalFormatting sqref="AG6:AJ20">
    <cfRule type="containsText" dxfId="18" priority="196" operator="containsText" text="공가">
      <formula>NOT(ISERROR(SEARCH("공가",AG6)))</formula>
    </cfRule>
    <cfRule type="containsText" dxfId="17" priority="195" operator="containsText" text="연차">
      <formula>NOT(ISERROR(SEARCH("연차",AG6)))</formula>
    </cfRule>
    <cfRule type="containsText" dxfId="16" priority="194" operator="containsText" text="반차">
      <formula>NOT(ISERROR(SEARCH("반차",AG6)))</formula>
    </cfRule>
    <cfRule type="containsText" dxfId="15" priority="193" operator="containsText" text="지각">
      <formula>NOT(ISERROR(SEARCH("지각",AG6)))</formula>
    </cfRule>
  </conditionalFormatting>
  <conditionalFormatting sqref="AG21:AJ22">
    <cfRule type="containsText" dxfId="14" priority="322" operator="containsText" text="공가">
      <formula>NOT(ISERROR(SEARCH("공가",AG21)))</formula>
    </cfRule>
    <cfRule type="containsText" dxfId="13" priority="320" operator="containsText" text="반차">
      <formula>NOT(ISERROR(SEARCH("반차",AG21)))</formula>
    </cfRule>
    <cfRule type="containsText" dxfId="12" priority="319" operator="containsText" text="지각">
      <formula>NOT(ISERROR(SEARCH("지각",AG21)))</formula>
    </cfRule>
    <cfRule type="containsText" dxfId="11" priority="321" operator="containsText" text="연차">
      <formula>NOT(ISERROR(SEARCH("연차",AG21)))</formula>
    </cfRule>
  </conditionalFormatting>
  <conditionalFormatting sqref="AG23:AJ36">
    <cfRule type="containsText" dxfId="10" priority="4" operator="containsText" text="공가">
      <formula>NOT(ISERROR(SEARCH("공가",AG23)))</formula>
    </cfRule>
    <cfRule type="containsText" dxfId="9" priority="3" operator="containsText" text="연차">
      <formula>NOT(ISERROR(SEARCH("연차",AG23)))</formula>
    </cfRule>
    <cfRule type="containsText" dxfId="8" priority="2" operator="containsText" text="반차">
      <formula>NOT(ISERROR(SEARCH("반차",AG23)))</formula>
    </cfRule>
    <cfRule type="containsText" dxfId="7" priority="1" operator="containsText" text="지각">
      <formula>NOT(ISERROR(SEARCH("지각",AG23)))</formula>
    </cfRule>
  </conditionalFormatting>
  <conditionalFormatting sqref="AI21">
    <cfRule type="containsText" dxfId="6" priority="318" operator="containsText" text="공가">
      <formula>NOT(ISERROR(SEARCH("공가",AI21)))</formula>
    </cfRule>
    <cfRule type="containsText" dxfId="5" priority="317" operator="containsText" text="연차">
      <formula>NOT(ISERROR(SEARCH("연차",AI21)))</formula>
    </cfRule>
    <cfRule type="containsText" dxfId="4" priority="316" operator="containsText" text="반차">
      <formula>NOT(ISERROR(SEARCH("반차",AI21)))</formula>
    </cfRule>
  </conditionalFormatting>
  <conditionalFormatting sqref="AK6:AL36">
    <cfRule type="containsText" dxfId="3" priority="735" operator="containsText" text="지각">
      <formula>NOT(ISERROR(SEARCH("지각",AK6)))</formula>
    </cfRule>
    <cfRule type="containsText" dxfId="2" priority="736" operator="containsText" text="반차">
      <formula>NOT(ISERROR(SEARCH("반차",AK6)))</formula>
    </cfRule>
    <cfRule type="containsText" dxfId="1" priority="737" operator="containsText" text="연차">
      <formula>NOT(ISERROR(SEARCH("연차",AK6)))</formula>
    </cfRule>
    <cfRule type="containsText" dxfId="0" priority="738" operator="containsText" text="공가">
      <formula>NOT(ISERROR(SEARCH("공가",AK6)))</formula>
    </cfRule>
  </conditionalFormatting>
  <pageMargins left="0.11811023622047245" right="0" top="0.55118110236220474" bottom="0" header="0.31496062992125984" footer="0.31496062992125984"/>
  <pageSetup paperSize="9" scale="58" orientation="landscape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36"/>
  <sheetViews>
    <sheetView showGridLines="0" zoomScale="115" zoomScaleNormal="115" workbookViewId="0"/>
  </sheetViews>
  <sheetFormatPr defaultRowHeight="16" x14ac:dyDescent="0.45"/>
  <cols>
    <col min="1" max="1" width="8.83203125" style="4" customWidth="1"/>
    <col min="2" max="2" width="3" style="4" customWidth="1"/>
    <col min="3" max="3" width="9.25" style="4" customWidth="1"/>
    <col min="4" max="4" width="28.83203125" style="4" bestFit="1" customWidth="1"/>
    <col min="5" max="5" width="14.5" style="4" customWidth="1"/>
    <col min="6" max="211" width="9" style="4"/>
    <col min="212" max="212" width="3" style="4" customWidth="1"/>
    <col min="213" max="213" width="7.83203125" style="4" customWidth="1"/>
    <col min="214" max="214" width="14.5" style="4" customWidth="1"/>
    <col min="215" max="215" width="11" style="4" customWidth="1"/>
    <col min="216" max="216" width="10.75" style="4" customWidth="1"/>
    <col min="217" max="217" width="9.75" style="4" customWidth="1"/>
    <col min="218" max="218" width="3.83203125" style="4" customWidth="1"/>
    <col min="219" max="248" width="3.5" style="4" customWidth="1"/>
    <col min="249" max="249" width="6" style="4" bestFit="1" customWidth="1"/>
    <col min="250" max="250" width="6.25" style="4" customWidth="1"/>
    <col min="251" max="251" width="4.75" style="4" customWidth="1"/>
    <col min="252" max="253" width="4.75" style="4" bestFit="1" customWidth="1"/>
    <col min="254" max="256" width="4.58203125" style="4" customWidth="1"/>
    <col min="257" max="258" width="4.58203125" style="4" bestFit="1" customWidth="1"/>
    <col min="259" max="259" width="4.58203125" style="4" customWidth="1"/>
    <col min="260" max="260" width="4.58203125" style="4" bestFit="1" customWidth="1"/>
    <col min="261" max="467" width="9" style="4"/>
    <col min="468" max="468" width="3" style="4" customWidth="1"/>
    <col min="469" max="469" width="7.83203125" style="4" customWidth="1"/>
    <col min="470" max="470" width="14.5" style="4" customWidth="1"/>
    <col min="471" max="471" width="11" style="4" customWidth="1"/>
    <col min="472" max="472" width="10.75" style="4" customWidth="1"/>
    <col min="473" max="473" width="9.75" style="4" customWidth="1"/>
    <col min="474" max="474" width="3.83203125" style="4" customWidth="1"/>
    <col min="475" max="504" width="3.5" style="4" customWidth="1"/>
    <col min="505" max="505" width="6" style="4" bestFit="1" customWidth="1"/>
    <col min="506" max="506" width="6.25" style="4" customWidth="1"/>
    <col min="507" max="507" width="4.75" style="4" customWidth="1"/>
    <col min="508" max="509" width="4.75" style="4" bestFit="1" customWidth="1"/>
    <col min="510" max="512" width="4.58203125" style="4" customWidth="1"/>
    <col min="513" max="514" width="4.58203125" style="4" bestFit="1" customWidth="1"/>
    <col min="515" max="515" width="4.58203125" style="4" customWidth="1"/>
    <col min="516" max="516" width="4.58203125" style="4" bestFit="1" customWidth="1"/>
    <col min="517" max="723" width="9" style="4"/>
    <col min="724" max="724" width="3" style="4" customWidth="1"/>
    <col min="725" max="725" width="7.83203125" style="4" customWidth="1"/>
    <col min="726" max="726" width="14.5" style="4" customWidth="1"/>
    <col min="727" max="727" width="11" style="4" customWidth="1"/>
    <col min="728" max="728" width="10.75" style="4" customWidth="1"/>
    <col min="729" max="729" width="9.75" style="4" customWidth="1"/>
    <col min="730" max="730" width="3.83203125" style="4" customWidth="1"/>
    <col min="731" max="760" width="3.5" style="4" customWidth="1"/>
    <col min="761" max="761" width="6" style="4" bestFit="1" customWidth="1"/>
    <col min="762" max="762" width="6.25" style="4" customWidth="1"/>
    <col min="763" max="763" width="4.75" style="4" customWidth="1"/>
    <col min="764" max="765" width="4.75" style="4" bestFit="1" customWidth="1"/>
    <col min="766" max="768" width="4.58203125" style="4" customWidth="1"/>
    <col min="769" max="770" width="4.58203125" style="4" bestFit="1" customWidth="1"/>
    <col min="771" max="771" width="4.58203125" style="4" customWidth="1"/>
    <col min="772" max="772" width="4.58203125" style="4" bestFit="1" customWidth="1"/>
    <col min="773" max="979" width="9" style="4"/>
    <col min="980" max="980" width="3" style="4" customWidth="1"/>
    <col min="981" max="981" width="7.83203125" style="4" customWidth="1"/>
    <col min="982" max="982" width="14.5" style="4" customWidth="1"/>
    <col min="983" max="983" width="11" style="4" customWidth="1"/>
    <col min="984" max="984" width="10.75" style="4" customWidth="1"/>
    <col min="985" max="985" width="9.75" style="4" customWidth="1"/>
    <col min="986" max="986" width="3.83203125" style="4" customWidth="1"/>
    <col min="987" max="1016" width="3.5" style="4" customWidth="1"/>
    <col min="1017" max="1017" width="6" style="4" bestFit="1" customWidth="1"/>
    <col min="1018" max="1018" width="6.25" style="4" customWidth="1"/>
    <col min="1019" max="1019" width="4.75" style="4" customWidth="1"/>
    <col min="1020" max="1021" width="4.75" style="4" bestFit="1" customWidth="1"/>
    <col min="1022" max="1024" width="4.58203125" style="4" customWidth="1"/>
    <col min="1025" max="1026" width="4.58203125" style="4" bestFit="1" customWidth="1"/>
    <col min="1027" max="1027" width="4.58203125" style="4" customWidth="1"/>
    <col min="1028" max="1028" width="4.58203125" style="4" bestFit="1" customWidth="1"/>
    <col min="1029" max="1235" width="9" style="4"/>
    <col min="1236" max="1236" width="3" style="4" customWidth="1"/>
    <col min="1237" max="1237" width="7.83203125" style="4" customWidth="1"/>
    <col min="1238" max="1238" width="14.5" style="4" customWidth="1"/>
    <col min="1239" max="1239" width="11" style="4" customWidth="1"/>
    <col min="1240" max="1240" width="10.75" style="4" customWidth="1"/>
    <col min="1241" max="1241" width="9.75" style="4" customWidth="1"/>
    <col min="1242" max="1242" width="3.83203125" style="4" customWidth="1"/>
    <col min="1243" max="1272" width="3.5" style="4" customWidth="1"/>
    <col min="1273" max="1273" width="6" style="4" bestFit="1" customWidth="1"/>
    <col min="1274" max="1274" width="6.25" style="4" customWidth="1"/>
    <col min="1275" max="1275" width="4.75" style="4" customWidth="1"/>
    <col min="1276" max="1277" width="4.75" style="4" bestFit="1" customWidth="1"/>
    <col min="1278" max="1280" width="4.58203125" style="4" customWidth="1"/>
    <col min="1281" max="1282" width="4.58203125" style="4" bestFit="1" customWidth="1"/>
    <col min="1283" max="1283" width="4.58203125" style="4" customWidth="1"/>
    <col min="1284" max="1284" width="4.58203125" style="4" bestFit="1" customWidth="1"/>
    <col min="1285" max="1491" width="9" style="4"/>
    <col min="1492" max="1492" width="3" style="4" customWidth="1"/>
    <col min="1493" max="1493" width="7.83203125" style="4" customWidth="1"/>
    <col min="1494" max="1494" width="14.5" style="4" customWidth="1"/>
    <col min="1495" max="1495" width="11" style="4" customWidth="1"/>
    <col min="1496" max="1496" width="10.75" style="4" customWidth="1"/>
    <col min="1497" max="1497" width="9.75" style="4" customWidth="1"/>
    <col min="1498" max="1498" width="3.83203125" style="4" customWidth="1"/>
    <col min="1499" max="1528" width="3.5" style="4" customWidth="1"/>
    <col min="1529" max="1529" width="6" style="4" bestFit="1" customWidth="1"/>
    <col min="1530" max="1530" width="6.25" style="4" customWidth="1"/>
    <col min="1531" max="1531" width="4.75" style="4" customWidth="1"/>
    <col min="1532" max="1533" width="4.75" style="4" bestFit="1" customWidth="1"/>
    <col min="1534" max="1536" width="4.58203125" style="4" customWidth="1"/>
    <col min="1537" max="1538" width="4.58203125" style="4" bestFit="1" customWidth="1"/>
    <col min="1539" max="1539" width="4.58203125" style="4" customWidth="1"/>
    <col min="1540" max="1540" width="4.58203125" style="4" bestFit="1" customWidth="1"/>
    <col min="1541" max="1747" width="9" style="4"/>
    <col min="1748" max="1748" width="3" style="4" customWidth="1"/>
    <col min="1749" max="1749" width="7.83203125" style="4" customWidth="1"/>
    <col min="1750" max="1750" width="14.5" style="4" customWidth="1"/>
    <col min="1751" max="1751" width="11" style="4" customWidth="1"/>
    <col min="1752" max="1752" width="10.75" style="4" customWidth="1"/>
    <col min="1753" max="1753" width="9.75" style="4" customWidth="1"/>
    <col min="1754" max="1754" width="3.83203125" style="4" customWidth="1"/>
    <col min="1755" max="1784" width="3.5" style="4" customWidth="1"/>
    <col min="1785" max="1785" width="6" style="4" bestFit="1" customWidth="1"/>
    <col min="1786" max="1786" width="6.25" style="4" customWidth="1"/>
    <col min="1787" max="1787" width="4.75" style="4" customWidth="1"/>
    <col min="1788" max="1789" width="4.75" style="4" bestFit="1" customWidth="1"/>
    <col min="1790" max="1792" width="4.58203125" style="4" customWidth="1"/>
    <col min="1793" max="1794" width="4.58203125" style="4" bestFit="1" customWidth="1"/>
    <col min="1795" max="1795" width="4.58203125" style="4" customWidth="1"/>
    <col min="1796" max="1796" width="4.58203125" style="4" bestFit="1" customWidth="1"/>
    <col min="1797" max="2003" width="9" style="4"/>
    <col min="2004" max="2004" width="3" style="4" customWidth="1"/>
    <col min="2005" max="2005" width="7.83203125" style="4" customWidth="1"/>
    <col min="2006" max="2006" width="14.5" style="4" customWidth="1"/>
    <col min="2007" max="2007" width="11" style="4" customWidth="1"/>
    <col min="2008" max="2008" width="10.75" style="4" customWidth="1"/>
    <col min="2009" max="2009" width="9.75" style="4" customWidth="1"/>
    <col min="2010" max="2010" width="3.83203125" style="4" customWidth="1"/>
    <col min="2011" max="2040" width="3.5" style="4" customWidth="1"/>
    <col min="2041" max="2041" width="6" style="4" bestFit="1" customWidth="1"/>
    <col min="2042" max="2042" width="6.25" style="4" customWidth="1"/>
    <col min="2043" max="2043" width="4.75" style="4" customWidth="1"/>
    <col min="2044" max="2045" width="4.75" style="4" bestFit="1" customWidth="1"/>
    <col min="2046" max="2048" width="4.58203125" style="4" customWidth="1"/>
    <col min="2049" max="2050" width="4.58203125" style="4" bestFit="1" customWidth="1"/>
    <col min="2051" max="2051" width="4.58203125" style="4" customWidth="1"/>
    <col min="2052" max="2052" width="4.58203125" style="4" bestFit="1" customWidth="1"/>
    <col min="2053" max="2259" width="9" style="4"/>
    <col min="2260" max="2260" width="3" style="4" customWidth="1"/>
    <col min="2261" max="2261" width="7.83203125" style="4" customWidth="1"/>
    <col min="2262" max="2262" width="14.5" style="4" customWidth="1"/>
    <col min="2263" max="2263" width="11" style="4" customWidth="1"/>
    <col min="2264" max="2264" width="10.75" style="4" customWidth="1"/>
    <col min="2265" max="2265" width="9.75" style="4" customWidth="1"/>
    <col min="2266" max="2266" width="3.83203125" style="4" customWidth="1"/>
    <col min="2267" max="2296" width="3.5" style="4" customWidth="1"/>
    <col min="2297" max="2297" width="6" style="4" bestFit="1" customWidth="1"/>
    <col min="2298" max="2298" width="6.25" style="4" customWidth="1"/>
    <col min="2299" max="2299" width="4.75" style="4" customWidth="1"/>
    <col min="2300" max="2301" width="4.75" style="4" bestFit="1" customWidth="1"/>
    <col min="2302" max="2304" width="4.58203125" style="4" customWidth="1"/>
    <col min="2305" max="2306" width="4.58203125" style="4" bestFit="1" customWidth="1"/>
    <col min="2307" max="2307" width="4.58203125" style="4" customWidth="1"/>
    <col min="2308" max="2308" width="4.58203125" style="4" bestFit="1" customWidth="1"/>
    <col min="2309" max="2515" width="9" style="4"/>
    <col min="2516" max="2516" width="3" style="4" customWidth="1"/>
    <col min="2517" max="2517" width="7.83203125" style="4" customWidth="1"/>
    <col min="2518" max="2518" width="14.5" style="4" customWidth="1"/>
    <col min="2519" max="2519" width="11" style="4" customWidth="1"/>
    <col min="2520" max="2520" width="10.75" style="4" customWidth="1"/>
    <col min="2521" max="2521" width="9.75" style="4" customWidth="1"/>
    <col min="2522" max="2522" width="3.83203125" style="4" customWidth="1"/>
    <col min="2523" max="2552" width="3.5" style="4" customWidth="1"/>
    <col min="2553" max="2553" width="6" style="4" bestFit="1" customWidth="1"/>
    <col min="2554" max="2554" width="6.25" style="4" customWidth="1"/>
    <col min="2555" max="2555" width="4.75" style="4" customWidth="1"/>
    <col min="2556" max="2557" width="4.75" style="4" bestFit="1" customWidth="1"/>
    <col min="2558" max="2560" width="4.58203125" style="4" customWidth="1"/>
    <col min="2561" max="2562" width="4.58203125" style="4" bestFit="1" customWidth="1"/>
    <col min="2563" max="2563" width="4.58203125" style="4" customWidth="1"/>
    <col min="2564" max="2564" width="4.58203125" style="4" bestFit="1" customWidth="1"/>
    <col min="2565" max="2771" width="9" style="4"/>
    <col min="2772" max="2772" width="3" style="4" customWidth="1"/>
    <col min="2773" max="2773" width="7.83203125" style="4" customWidth="1"/>
    <col min="2774" max="2774" width="14.5" style="4" customWidth="1"/>
    <col min="2775" max="2775" width="11" style="4" customWidth="1"/>
    <col min="2776" max="2776" width="10.75" style="4" customWidth="1"/>
    <col min="2777" max="2777" width="9.75" style="4" customWidth="1"/>
    <col min="2778" max="2778" width="3.83203125" style="4" customWidth="1"/>
    <col min="2779" max="2808" width="3.5" style="4" customWidth="1"/>
    <col min="2809" max="2809" width="6" style="4" bestFit="1" customWidth="1"/>
    <col min="2810" max="2810" width="6.25" style="4" customWidth="1"/>
    <col min="2811" max="2811" width="4.75" style="4" customWidth="1"/>
    <col min="2812" max="2813" width="4.75" style="4" bestFit="1" customWidth="1"/>
    <col min="2814" max="2816" width="4.58203125" style="4" customWidth="1"/>
    <col min="2817" max="2818" width="4.58203125" style="4" bestFit="1" customWidth="1"/>
    <col min="2819" max="2819" width="4.58203125" style="4" customWidth="1"/>
    <col min="2820" max="2820" width="4.58203125" style="4" bestFit="1" customWidth="1"/>
    <col min="2821" max="3027" width="9" style="4"/>
    <col min="3028" max="3028" width="3" style="4" customWidth="1"/>
    <col min="3029" max="3029" width="7.83203125" style="4" customWidth="1"/>
    <col min="3030" max="3030" width="14.5" style="4" customWidth="1"/>
    <col min="3031" max="3031" width="11" style="4" customWidth="1"/>
    <col min="3032" max="3032" width="10.75" style="4" customWidth="1"/>
    <col min="3033" max="3033" width="9.75" style="4" customWidth="1"/>
    <col min="3034" max="3034" width="3.83203125" style="4" customWidth="1"/>
    <col min="3035" max="3064" width="3.5" style="4" customWidth="1"/>
    <col min="3065" max="3065" width="6" style="4" bestFit="1" customWidth="1"/>
    <col min="3066" max="3066" width="6.25" style="4" customWidth="1"/>
    <col min="3067" max="3067" width="4.75" style="4" customWidth="1"/>
    <col min="3068" max="3069" width="4.75" style="4" bestFit="1" customWidth="1"/>
    <col min="3070" max="3072" width="4.58203125" style="4" customWidth="1"/>
    <col min="3073" max="3074" width="4.58203125" style="4" bestFit="1" customWidth="1"/>
    <col min="3075" max="3075" width="4.58203125" style="4" customWidth="1"/>
    <col min="3076" max="3076" width="4.58203125" style="4" bestFit="1" customWidth="1"/>
    <col min="3077" max="3283" width="9" style="4"/>
    <col min="3284" max="3284" width="3" style="4" customWidth="1"/>
    <col min="3285" max="3285" width="7.83203125" style="4" customWidth="1"/>
    <col min="3286" max="3286" width="14.5" style="4" customWidth="1"/>
    <col min="3287" max="3287" width="11" style="4" customWidth="1"/>
    <col min="3288" max="3288" width="10.75" style="4" customWidth="1"/>
    <col min="3289" max="3289" width="9.75" style="4" customWidth="1"/>
    <col min="3290" max="3290" width="3.83203125" style="4" customWidth="1"/>
    <col min="3291" max="3320" width="3.5" style="4" customWidth="1"/>
    <col min="3321" max="3321" width="6" style="4" bestFit="1" customWidth="1"/>
    <col min="3322" max="3322" width="6.25" style="4" customWidth="1"/>
    <col min="3323" max="3323" width="4.75" style="4" customWidth="1"/>
    <col min="3324" max="3325" width="4.75" style="4" bestFit="1" customWidth="1"/>
    <col min="3326" max="3328" width="4.58203125" style="4" customWidth="1"/>
    <col min="3329" max="3330" width="4.58203125" style="4" bestFit="1" customWidth="1"/>
    <col min="3331" max="3331" width="4.58203125" style="4" customWidth="1"/>
    <col min="3332" max="3332" width="4.58203125" style="4" bestFit="1" customWidth="1"/>
    <col min="3333" max="3539" width="9" style="4"/>
    <col min="3540" max="3540" width="3" style="4" customWidth="1"/>
    <col min="3541" max="3541" width="7.83203125" style="4" customWidth="1"/>
    <col min="3542" max="3542" width="14.5" style="4" customWidth="1"/>
    <col min="3543" max="3543" width="11" style="4" customWidth="1"/>
    <col min="3544" max="3544" width="10.75" style="4" customWidth="1"/>
    <col min="3545" max="3545" width="9.75" style="4" customWidth="1"/>
    <col min="3546" max="3546" width="3.83203125" style="4" customWidth="1"/>
    <col min="3547" max="3576" width="3.5" style="4" customWidth="1"/>
    <col min="3577" max="3577" width="6" style="4" bestFit="1" customWidth="1"/>
    <col min="3578" max="3578" width="6.25" style="4" customWidth="1"/>
    <col min="3579" max="3579" width="4.75" style="4" customWidth="1"/>
    <col min="3580" max="3581" width="4.75" style="4" bestFit="1" customWidth="1"/>
    <col min="3582" max="3584" width="4.58203125" style="4" customWidth="1"/>
    <col min="3585" max="3586" width="4.58203125" style="4" bestFit="1" customWidth="1"/>
    <col min="3587" max="3587" width="4.58203125" style="4" customWidth="1"/>
    <col min="3588" max="3588" width="4.58203125" style="4" bestFit="1" customWidth="1"/>
    <col min="3589" max="3795" width="9" style="4"/>
    <col min="3796" max="3796" width="3" style="4" customWidth="1"/>
    <col min="3797" max="3797" width="7.83203125" style="4" customWidth="1"/>
    <col min="3798" max="3798" width="14.5" style="4" customWidth="1"/>
    <col min="3799" max="3799" width="11" style="4" customWidth="1"/>
    <col min="3800" max="3800" width="10.75" style="4" customWidth="1"/>
    <col min="3801" max="3801" width="9.75" style="4" customWidth="1"/>
    <col min="3802" max="3802" width="3.83203125" style="4" customWidth="1"/>
    <col min="3803" max="3832" width="3.5" style="4" customWidth="1"/>
    <col min="3833" max="3833" width="6" style="4" bestFit="1" customWidth="1"/>
    <col min="3834" max="3834" width="6.25" style="4" customWidth="1"/>
    <col min="3835" max="3835" width="4.75" style="4" customWidth="1"/>
    <col min="3836" max="3837" width="4.75" style="4" bestFit="1" customWidth="1"/>
    <col min="3838" max="3840" width="4.58203125" style="4" customWidth="1"/>
    <col min="3841" max="3842" width="4.58203125" style="4" bestFit="1" customWidth="1"/>
    <col min="3843" max="3843" width="4.58203125" style="4" customWidth="1"/>
    <col min="3844" max="3844" width="4.58203125" style="4" bestFit="1" customWidth="1"/>
    <col min="3845" max="4051" width="9" style="4"/>
    <col min="4052" max="4052" width="3" style="4" customWidth="1"/>
    <col min="4053" max="4053" width="7.83203125" style="4" customWidth="1"/>
    <col min="4054" max="4054" width="14.5" style="4" customWidth="1"/>
    <col min="4055" max="4055" width="11" style="4" customWidth="1"/>
    <col min="4056" max="4056" width="10.75" style="4" customWidth="1"/>
    <col min="4057" max="4057" width="9.75" style="4" customWidth="1"/>
    <col min="4058" max="4058" width="3.83203125" style="4" customWidth="1"/>
    <col min="4059" max="4088" width="3.5" style="4" customWidth="1"/>
    <col min="4089" max="4089" width="6" style="4" bestFit="1" customWidth="1"/>
    <col min="4090" max="4090" width="6.25" style="4" customWidth="1"/>
    <col min="4091" max="4091" width="4.75" style="4" customWidth="1"/>
    <col min="4092" max="4093" width="4.75" style="4" bestFit="1" customWidth="1"/>
    <col min="4094" max="4096" width="4.58203125" style="4" customWidth="1"/>
    <col min="4097" max="4098" width="4.58203125" style="4" bestFit="1" customWidth="1"/>
    <col min="4099" max="4099" width="4.58203125" style="4" customWidth="1"/>
    <col min="4100" max="4100" width="4.58203125" style="4" bestFit="1" customWidth="1"/>
    <col min="4101" max="4307" width="9" style="4"/>
    <col min="4308" max="4308" width="3" style="4" customWidth="1"/>
    <col min="4309" max="4309" width="7.83203125" style="4" customWidth="1"/>
    <col min="4310" max="4310" width="14.5" style="4" customWidth="1"/>
    <col min="4311" max="4311" width="11" style="4" customWidth="1"/>
    <col min="4312" max="4312" width="10.75" style="4" customWidth="1"/>
    <col min="4313" max="4313" width="9.75" style="4" customWidth="1"/>
    <col min="4314" max="4314" width="3.83203125" style="4" customWidth="1"/>
    <col min="4315" max="4344" width="3.5" style="4" customWidth="1"/>
    <col min="4345" max="4345" width="6" style="4" bestFit="1" customWidth="1"/>
    <col min="4346" max="4346" width="6.25" style="4" customWidth="1"/>
    <col min="4347" max="4347" width="4.75" style="4" customWidth="1"/>
    <col min="4348" max="4349" width="4.75" style="4" bestFit="1" customWidth="1"/>
    <col min="4350" max="4352" width="4.58203125" style="4" customWidth="1"/>
    <col min="4353" max="4354" width="4.58203125" style="4" bestFit="1" customWidth="1"/>
    <col min="4355" max="4355" width="4.58203125" style="4" customWidth="1"/>
    <col min="4356" max="4356" width="4.58203125" style="4" bestFit="1" customWidth="1"/>
    <col min="4357" max="4563" width="9" style="4"/>
    <col min="4564" max="4564" width="3" style="4" customWidth="1"/>
    <col min="4565" max="4565" width="7.83203125" style="4" customWidth="1"/>
    <col min="4566" max="4566" width="14.5" style="4" customWidth="1"/>
    <col min="4567" max="4567" width="11" style="4" customWidth="1"/>
    <col min="4568" max="4568" width="10.75" style="4" customWidth="1"/>
    <col min="4569" max="4569" width="9.75" style="4" customWidth="1"/>
    <col min="4570" max="4570" width="3.83203125" style="4" customWidth="1"/>
    <col min="4571" max="4600" width="3.5" style="4" customWidth="1"/>
    <col min="4601" max="4601" width="6" style="4" bestFit="1" customWidth="1"/>
    <col min="4602" max="4602" width="6.25" style="4" customWidth="1"/>
    <col min="4603" max="4603" width="4.75" style="4" customWidth="1"/>
    <col min="4604" max="4605" width="4.75" style="4" bestFit="1" customWidth="1"/>
    <col min="4606" max="4608" width="4.58203125" style="4" customWidth="1"/>
    <col min="4609" max="4610" width="4.58203125" style="4" bestFit="1" customWidth="1"/>
    <col min="4611" max="4611" width="4.58203125" style="4" customWidth="1"/>
    <col min="4612" max="4612" width="4.58203125" style="4" bestFit="1" customWidth="1"/>
    <col min="4613" max="4819" width="9" style="4"/>
    <col min="4820" max="4820" width="3" style="4" customWidth="1"/>
    <col min="4821" max="4821" width="7.83203125" style="4" customWidth="1"/>
    <col min="4822" max="4822" width="14.5" style="4" customWidth="1"/>
    <col min="4823" max="4823" width="11" style="4" customWidth="1"/>
    <col min="4824" max="4824" width="10.75" style="4" customWidth="1"/>
    <col min="4825" max="4825" width="9.75" style="4" customWidth="1"/>
    <col min="4826" max="4826" width="3.83203125" style="4" customWidth="1"/>
    <col min="4827" max="4856" width="3.5" style="4" customWidth="1"/>
    <col min="4857" max="4857" width="6" style="4" bestFit="1" customWidth="1"/>
    <col min="4858" max="4858" width="6.25" style="4" customWidth="1"/>
    <col min="4859" max="4859" width="4.75" style="4" customWidth="1"/>
    <col min="4860" max="4861" width="4.75" style="4" bestFit="1" customWidth="1"/>
    <col min="4862" max="4864" width="4.58203125" style="4" customWidth="1"/>
    <col min="4865" max="4866" width="4.58203125" style="4" bestFit="1" customWidth="1"/>
    <col min="4867" max="4867" width="4.58203125" style="4" customWidth="1"/>
    <col min="4868" max="4868" width="4.58203125" style="4" bestFit="1" customWidth="1"/>
    <col min="4869" max="5075" width="9" style="4"/>
    <col min="5076" max="5076" width="3" style="4" customWidth="1"/>
    <col min="5077" max="5077" width="7.83203125" style="4" customWidth="1"/>
    <col min="5078" max="5078" width="14.5" style="4" customWidth="1"/>
    <col min="5079" max="5079" width="11" style="4" customWidth="1"/>
    <col min="5080" max="5080" width="10.75" style="4" customWidth="1"/>
    <col min="5081" max="5081" width="9.75" style="4" customWidth="1"/>
    <col min="5082" max="5082" width="3.83203125" style="4" customWidth="1"/>
    <col min="5083" max="5112" width="3.5" style="4" customWidth="1"/>
    <col min="5113" max="5113" width="6" style="4" bestFit="1" customWidth="1"/>
    <col min="5114" max="5114" width="6.25" style="4" customWidth="1"/>
    <col min="5115" max="5115" width="4.75" style="4" customWidth="1"/>
    <col min="5116" max="5117" width="4.75" style="4" bestFit="1" customWidth="1"/>
    <col min="5118" max="5120" width="4.58203125" style="4" customWidth="1"/>
    <col min="5121" max="5122" width="4.58203125" style="4" bestFit="1" customWidth="1"/>
    <col min="5123" max="5123" width="4.58203125" style="4" customWidth="1"/>
    <col min="5124" max="5124" width="4.58203125" style="4" bestFit="1" customWidth="1"/>
    <col min="5125" max="5331" width="9" style="4"/>
    <col min="5332" max="5332" width="3" style="4" customWidth="1"/>
    <col min="5333" max="5333" width="7.83203125" style="4" customWidth="1"/>
    <col min="5334" max="5334" width="14.5" style="4" customWidth="1"/>
    <col min="5335" max="5335" width="11" style="4" customWidth="1"/>
    <col min="5336" max="5336" width="10.75" style="4" customWidth="1"/>
    <col min="5337" max="5337" width="9.75" style="4" customWidth="1"/>
    <col min="5338" max="5338" width="3.83203125" style="4" customWidth="1"/>
    <col min="5339" max="5368" width="3.5" style="4" customWidth="1"/>
    <col min="5369" max="5369" width="6" style="4" bestFit="1" customWidth="1"/>
    <col min="5370" max="5370" width="6.25" style="4" customWidth="1"/>
    <col min="5371" max="5371" width="4.75" style="4" customWidth="1"/>
    <col min="5372" max="5373" width="4.75" style="4" bestFit="1" customWidth="1"/>
    <col min="5374" max="5376" width="4.58203125" style="4" customWidth="1"/>
    <col min="5377" max="5378" width="4.58203125" style="4" bestFit="1" customWidth="1"/>
    <col min="5379" max="5379" width="4.58203125" style="4" customWidth="1"/>
    <col min="5380" max="5380" width="4.58203125" style="4" bestFit="1" customWidth="1"/>
    <col min="5381" max="5587" width="9" style="4"/>
    <col min="5588" max="5588" width="3" style="4" customWidth="1"/>
    <col min="5589" max="5589" width="7.83203125" style="4" customWidth="1"/>
    <col min="5590" max="5590" width="14.5" style="4" customWidth="1"/>
    <col min="5591" max="5591" width="11" style="4" customWidth="1"/>
    <col min="5592" max="5592" width="10.75" style="4" customWidth="1"/>
    <col min="5593" max="5593" width="9.75" style="4" customWidth="1"/>
    <col min="5594" max="5594" width="3.83203125" style="4" customWidth="1"/>
    <col min="5595" max="5624" width="3.5" style="4" customWidth="1"/>
    <col min="5625" max="5625" width="6" style="4" bestFit="1" customWidth="1"/>
    <col min="5626" max="5626" width="6.25" style="4" customWidth="1"/>
    <col min="5627" max="5627" width="4.75" style="4" customWidth="1"/>
    <col min="5628" max="5629" width="4.75" style="4" bestFit="1" customWidth="1"/>
    <col min="5630" max="5632" width="4.58203125" style="4" customWidth="1"/>
    <col min="5633" max="5634" width="4.58203125" style="4" bestFit="1" customWidth="1"/>
    <col min="5635" max="5635" width="4.58203125" style="4" customWidth="1"/>
    <col min="5636" max="5636" width="4.58203125" style="4" bestFit="1" customWidth="1"/>
    <col min="5637" max="5843" width="9" style="4"/>
    <col min="5844" max="5844" width="3" style="4" customWidth="1"/>
    <col min="5845" max="5845" width="7.83203125" style="4" customWidth="1"/>
    <col min="5846" max="5846" width="14.5" style="4" customWidth="1"/>
    <col min="5847" max="5847" width="11" style="4" customWidth="1"/>
    <col min="5848" max="5848" width="10.75" style="4" customWidth="1"/>
    <col min="5849" max="5849" width="9.75" style="4" customWidth="1"/>
    <col min="5850" max="5850" width="3.83203125" style="4" customWidth="1"/>
    <col min="5851" max="5880" width="3.5" style="4" customWidth="1"/>
    <col min="5881" max="5881" width="6" style="4" bestFit="1" customWidth="1"/>
    <col min="5882" max="5882" width="6.25" style="4" customWidth="1"/>
    <col min="5883" max="5883" width="4.75" style="4" customWidth="1"/>
    <col min="5884" max="5885" width="4.75" style="4" bestFit="1" customWidth="1"/>
    <col min="5886" max="5888" width="4.58203125" style="4" customWidth="1"/>
    <col min="5889" max="5890" width="4.58203125" style="4" bestFit="1" customWidth="1"/>
    <col min="5891" max="5891" width="4.58203125" style="4" customWidth="1"/>
    <col min="5892" max="5892" width="4.58203125" style="4" bestFit="1" customWidth="1"/>
    <col min="5893" max="6099" width="9" style="4"/>
    <col min="6100" max="6100" width="3" style="4" customWidth="1"/>
    <col min="6101" max="6101" width="7.83203125" style="4" customWidth="1"/>
    <col min="6102" max="6102" width="14.5" style="4" customWidth="1"/>
    <col min="6103" max="6103" width="11" style="4" customWidth="1"/>
    <col min="6104" max="6104" width="10.75" style="4" customWidth="1"/>
    <col min="6105" max="6105" width="9.75" style="4" customWidth="1"/>
    <col min="6106" max="6106" width="3.83203125" style="4" customWidth="1"/>
    <col min="6107" max="6136" width="3.5" style="4" customWidth="1"/>
    <col min="6137" max="6137" width="6" style="4" bestFit="1" customWidth="1"/>
    <col min="6138" max="6138" width="6.25" style="4" customWidth="1"/>
    <col min="6139" max="6139" width="4.75" style="4" customWidth="1"/>
    <col min="6140" max="6141" width="4.75" style="4" bestFit="1" customWidth="1"/>
    <col min="6142" max="6144" width="4.58203125" style="4" customWidth="1"/>
    <col min="6145" max="6146" width="4.58203125" style="4" bestFit="1" customWidth="1"/>
    <col min="6147" max="6147" width="4.58203125" style="4" customWidth="1"/>
    <col min="6148" max="6148" width="4.58203125" style="4" bestFit="1" customWidth="1"/>
    <col min="6149" max="6355" width="9" style="4"/>
    <col min="6356" max="6356" width="3" style="4" customWidth="1"/>
    <col min="6357" max="6357" width="7.83203125" style="4" customWidth="1"/>
    <col min="6358" max="6358" width="14.5" style="4" customWidth="1"/>
    <col min="6359" max="6359" width="11" style="4" customWidth="1"/>
    <col min="6360" max="6360" width="10.75" style="4" customWidth="1"/>
    <col min="6361" max="6361" width="9.75" style="4" customWidth="1"/>
    <col min="6362" max="6362" width="3.83203125" style="4" customWidth="1"/>
    <col min="6363" max="6392" width="3.5" style="4" customWidth="1"/>
    <col min="6393" max="6393" width="6" style="4" bestFit="1" customWidth="1"/>
    <col min="6394" max="6394" width="6.25" style="4" customWidth="1"/>
    <col min="6395" max="6395" width="4.75" style="4" customWidth="1"/>
    <col min="6396" max="6397" width="4.75" style="4" bestFit="1" customWidth="1"/>
    <col min="6398" max="6400" width="4.58203125" style="4" customWidth="1"/>
    <col min="6401" max="6402" width="4.58203125" style="4" bestFit="1" customWidth="1"/>
    <col min="6403" max="6403" width="4.58203125" style="4" customWidth="1"/>
    <col min="6404" max="6404" width="4.58203125" style="4" bestFit="1" customWidth="1"/>
    <col min="6405" max="6611" width="9" style="4"/>
    <col min="6612" max="6612" width="3" style="4" customWidth="1"/>
    <col min="6613" max="6613" width="7.83203125" style="4" customWidth="1"/>
    <col min="6614" max="6614" width="14.5" style="4" customWidth="1"/>
    <col min="6615" max="6615" width="11" style="4" customWidth="1"/>
    <col min="6616" max="6616" width="10.75" style="4" customWidth="1"/>
    <col min="6617" max="6617" width="9.75" style="4" customWidth="1"/>
    <col min="6618" max="6618" width="3.83203125" style="4" customWidth="1"/>
    <col min="6619" max="6648" width="3.5" style="4" customWidth="1"/>
    <col min="6649" max="6649" width="6" style="4" bestFit="1" customWidth="1"/>
    <col min="6650" max="6650" width="6.25" style="4" customWidth="1"/>
    <col min="6651" max="6651" width="4.75" style="4" customWidth="1"/>
    <col min="6652" max="6653" width="4.75" style="4" bestFit="1" customWidth="1"/>
    <col min="6654" max="6656" width="4.58203125" style="4" customWidth="1"/>
    <col min="6657" max="6658" width="4.58203125" style="4" bestFit="1" customWidth="1"/>
    <col min="6659" max="6659" width="4.58203125" style="4" customWidth="1"/>
    <col min="6660" max="6660" width="4.58203125" style="4" bestFit="1" customWidth="1"/>
    <col min="6661" max="6867" width="9" style="4"/>
    <col min="6868" max="6868" width="3" style="4" customWidth="1"/>
    <col min="6869" max="6869" width="7.83203125" style="4" customWidth="1"/>
    <col min="6870" max="6870" width="14.5" style="4" customWidth="1"/>
    <col min="6871" max="6871" width="11" style="4" customWidth="1"/>
    <col min="6872" max="6872" width="10.75" style="4" customWidth="1"/>
    <col min="6873" max="6873" width="9.75" style="4" customWidth="1"/>
    <col min="6874" max="6874" width="3.83203125" style="4" customWidth="1"/>
    <col min="6875" max="6904" width="3.5" style="4" customWidth="1"/>
    <col min="6905" max="6905" width="6" style="4" bestFit="1" customWidth="1"/>
    <col min="6906" max="6906" width="6.25" style="4" customWidth="1"/>
    <col min="6907" max="6907" width="4.75" style="4" customWidth="1"/>
    <col min="6908" max="6909" width="4.75" style="4" bestFit="1" customWidth="1"/>
    <col min="6910" max="6912" width="4.58203125" style="4" customWidth="1"/>
    <col min="6913" max="6914" width="4.58203125" style="4" bestFit="1" customWidth="1"/>
    <col min="6915" max="6915" width="4.58203125" style="4" customWidth="1"/>
    <col min="6916" max="6916" width="4.58203125" style="4" bestFit="1" customWidth="1"/>
    <col min="6917" max="7123" width="9" style="4"/>
    <col min="7124" max="7124" width="3" style="4" customWidth="1"/>
    <col min="7125" max="7125" width="7.83203125" style="4" customWidth="1"/>
    <col min="7126" max="7126" width="14.5" style="4" customWidth="1"/>
    <col min="7127" max="7127" width="11" style="4" customWidth="1"/>
    <col min="7128" max="7128" width="10.75" style="4" customWidth="1"/>
    <col min="7129" max="7129" width="9.75" style="4" customWidth="1"/>
    <col min="7130" max="7130" width="3.83203125" style="4" customWidth="1"/>
    <col min="7131" max="7160" width="3.5" style="4" customWidth="1"/>
    <col min="7161" max="7161" width="6" style="4" bestFit="1" customWidth="1"/>
    <col min="7162" max="7162" width="6.25" style="4" customWidth="1"/>
    <col min="7163" max="7163" width="4.75" style="4" customWidth="1"/>
    <col min="7164" max="7165" width="4.75" style="4" bestFit="1" customWidth="1"/>
    <col min="7166" max="7168" width="4.58203125" style="4" customWidth="1"/>
    <col min="7169" max="7170" width="4.58203125" style="4" bestFit="1" customWidth="1"/>
    <col min="7171" max="7171" width="4.58203125" style="4" customWidth="1"/>
    <col min="7172" max="7172" width="4.58203125" style="4" bestFit="1" customWidth="1"/>
    <col min="7173" max="7379" width="9" style="4"/>
    <col min="7380" max="7380" width="3" style="4" customWidth="1"/>
    <col min="7381" max="7381" width="7.83203125" style="4" customWidth="1"/>
    <col min="7382" max="7382" width="14.5" style="4" customWidth="1"/>
    <col min="7383" max="7383" width="11" style="4" customWidth="1"/>
    <col min="7384" max="7384" width="10.75" style="4" customWidth="1"/>
    <col min="7385" max="7385" width="9.75" style="4" customWidth="1"/>
    <col min="7386" max="7386" width="3.83203125" style="4" customWidth="1"/>
    <col min="7387" max="7416" width="3.5" style="4" customWidth="1"/>
    <col min="7417" max="7417" width="6" style="4" bestFit="1" customWidth="1"/>
    <col min="7418" max="7418" width="6.25" style="4" customWidth="1"/>
    <col min="7419" max="7419" width="4.75" style="4" customWidth="1"/>
    <col min="7420" max="7421" width="4.75" style="4" bestFit="1" customWidth="1"/>
    <col min="7422" max="7424" width="4.58203125" style="4" customWidth="1"/>
    <col min="7425" max="7426" width="4.58203125" style="4" bestFit="1" customWidth="1"/>
    <col min="7427" max="7427" width="4.58203125" style="4" customWidth="1"/>
    <col min="7428" max="7428" width="4.58203125" style="4" bestFit="1" customWidth="1"/>
    <col min="7429" max="7635" width="9" style="4"/>
    <col min="7636" max="7636" width="3" style="4" customWidth="1"/>
    <col min="7637" max="7637" width="7.83203125" style="4" customWidth="1"/>
    <col min="7638" max="7638" width="14.5" style="4" customWidth="1"/>
    <col min="7639" max="7639" width="11" style="4" customWidth="1"/>
    <col min="7640" max="7640" width="10.75" style="4" customWidth="1"/>
    <col min="7641" max="7641" width="9.75" style="4" customWidth="1"/>
    <col min="7642" max="7642" width="3.83203125" style="4" customWidth="1"/>
    <col min="7643" max="7672" width="3.5" style="4" customWidth="1"/>
    <col min="7673" max="7673" width="6" style="4" bestFit="1" customWidth="1"/>
    <col min="7674" max="7674" width="6.25" style="4" customWidth="1"/>
    <col min="7675" max="7675" width="4.75" style="4" customWidth="1"/>
    <col min="7676" max="7677" width="4.75" style="4" bestFit="1" customWidth="1"/>
    <col min="7678" max="7680" width="4.58203125" style="4" customWidth="1"/>
    <col min="7681" max="7682" width="4.58203125" style="4" bestFit="1" customWidth="1"/>
    <col min="7683" max="7683" width="4.58203125" style="4" customWidth="1"/>
    <col min="7684" max="7684" width="4.58203125" style="4" bestFit="1" customWidth="1"/>
    <col min="7685" max="7891" width="9" style="4"/>
    <col min="7892" max="7892" width="3" style="4" customWidth="1"/>
    <col min="7893" max="7893" width="7.83203125" style="4" customWidth="1"/>
    <col min="7894" max="7894" width="14.5" style="4" customWidth="1"/>
    <col min="7895" max="7895" width="11" style="4" customWidth="1"/>
    <col min="7896" max="7896" width="10.75" style="4" customWidth="1"/>
    <col min="7897" max="7897" width="9.75" style="4" customWidth="1"/>
    <col min="7898" max="7898" width="3.83203125" style="4" customWidth="1"/>
    <col min="7899" max="7928" width="3.5" style="4" customWidth="1"/>
    <col min="7929" max="7929" width="6" style="4" bestFit="1" customWidth="1"/>
    <col min="7930" max="7930" width="6.25" style="4" customWidth="1"/>
    <col min="7931" max="7931" width="4.75" style="4" customWidth="1"/>
    <col min="7932" max="7933" width="4.75" style="4" bestFit="1" customWidth="1"/>
    <col min="7934" max="7936" width="4.58203125" style="4" customWidth="1"/>
    <col min="7937" max="7938" width="4.58203125" style="4" bestFit="1" customWidth="1"/>
    <col min="7939" max="7939" width="4.58203125" style="4" customWidth="1"/>
    <col min="7940" max="7940" width="4.58203125" style="4" bestFit="1" customWidth="1"/>
    <col min="7941" max="8147" width="9" style="4"/>
    <col min="8148" max="8148" width="3" style="4" customWidth="1"/>
    <col min="8149" max="8149" width="7.83203125" style="4" customWidth="1"/>
    <col min="8150" max="8150" width="14.5" style="4" customWidth="1"/>
    <col min="8151" max="8151" width="11" style="4" customWidth="1"/>
    <col min="8152" max="8152" width="10.75" style="4" customWidth="1"/>
    <col min="8153" max="8153" width="9.75" style="4" customWidth="1"/>
    <col min="8154" max="8154" width="3.83203125" style="4" customWidth="1"/>
    <col min="8155" max="8184" width="3.5" style="4" customWidth="1"/>
    <col min="8185" max="8185" width="6" style="4" bestFit="1" customWidth="1"/>
    <col min="8186" max="8186" width="6.25" style="4" customWidth="1"/>
    <col min="8187" max="8187" width="4.75" style="4" customWidth="1"/>
    <col min="8188" max="8189" width="4.75" style="4" bestFit="1" customWidth="1"/>
    <col min="8190" max="8192" width="4.58203125" style="4" customWidth="1"/>
    <col min="8193" max="8194" width="4.58203125" style="4" bestFit="1" customWidth="1"/>
    <col min="8195" max="8195" width="4.58203125" style="4" customWidth="1"/>
    <col min="8196" max="8196" width="4.58203125" style="4" bestFit="1" customWidth="1"/>
    <col min="8197" max="8403" width="9" style="4"/>
    <col min="8404" max="8404" width="3" style="4" customWidth="1"/>
    <col min="8405" max="8405" width="7.83203125" style="4" customWidth="1"/>
    <col min="8406" max="8406" width="14.5" style="4" customWidth="1"/>
    <col min="8407" max="8407" width="11" style="4" customWidth="1"/>
    <col min="8408" max="8408" width="10.75" style="4" customWidth="1"/>
    <col min="8409" max="8409" width="9.75" style="4" customWidth="1"/>
    <col min="8410" max="8410" width="3.83203125" style="4" customWidth="1"/>
    <col min="8411" max="8440" width="3.5" style="4" customWidth="1"/>
    <col min="8441" max="8441" width="6" style="4" bestFit="1" customWidth="1"/>
    <col min="8442" max="8442" width="6.25" style="4" customWidth="1"/>
    <col min="8443" max="8443" width="4.75" style="4" customWidth="1"/>
    <col min="8444" max="8445" width="4.75" style="4" bestFit="1" customWidth="1"/>
    <col min="8446" max="8448" width="4.58203125" style="4" customWidth="1"/>
    <col min="8449" max="8450" width="4.58203125" style="4" bestFit="1" customWidth="1"/>
    <col min="8451" max="8451" width="4.58203125" style="4" customWidth="1"/>
    <col min="8452" max="8452" width="4.58203125" style="4" bestFit="1" customWidth="1"/>
    <col min="8453" max="8659" width="9" style="4"/>
    <col min="8660" max="8660" width="3" style="4" customWidth="1"/>
    <col min="8661" max="8661" width="7.83203125" style="4" customWidth="1"/>
    <col min="8662" max="8662" width="14.5" style="4" customWidth="1"/>
    <col min="8663" max="8663" width="11" style="4" customWidth="1"/>
    <col min="8664" max="8664" width="10.75" style="4" customWidth="1"/>
    <col min="8665" max="8665" width="9.75" style="4" customWidth="1"/>
    <col min="8666" max="8666" width="3.83203125" style="4" customWidth="1"/>
    <col min="8667" max="8696" width="3.5" style="4" customWidth="1"/>
    <col min="8697" max="8697" width="6" style="4" bestFit="1" customWidth="1"/>
    <col min="8698" max="8698" width="6.25" style="4" customWidth="1"/>
    <col min="8699" max="8699" width="4.75" style="4" customWidth="1"/>
    <col min="8700" max="8701" width="4.75" style="4" bestFit="1" customWidth="1"/>
    <col min="8702" max="8704" width="4.58203125" style="4" customWidth="1"/>
    <col min="8705" max="8706" width="4.58203125" style="4" bestFit="1" customWidth="1"/>
    <col min="8707" max="8707" width="4.58203125" style="4" customWidth="1"/>
    <col min="8708" max="8708" width="4.58203125" style="4" bestFit="1" customWidth="1"/>
    <col min="8709" max="8915" width="9" style="4"/>
    <col min="8916" max="8916" width="3" style="4" customWidth="1"/>
    <col min="8917" max="8917" width="7.83203125" style="4" customWidth="1"/>
    <col min="8918" max="8918" width="14.5" style="4" customWidth="1"/>
    <col min="8919" max="8919" width="11" style="4" customWidth="1"/>
    <col min="8920" max="8920" width="10.75" style="4" customWidth="1"/>
    <col min="8921" max="8921" width="9.75" style="4" customWidth="1"/>
    <col min="8922" max="8922" width="3.83203125" style="4" customWidth="1"/>
    <col min="8923" max="8952" width="3.5" style="4" customWidth="1"/>
    <col min="8953" max="8953" width="6" style="4" bestFit="1" customWidth="1"/>
    <col min="8954" max="8954" width="6.25" style="4" customWidth="1"/>
    <col min="8955" max="8955" width="4.75" style="4" customWidth="1"/>
    <col min="8956" max="8957" width="4.75" style="4" bestFit="1" customWidth="1"/>
    <col min="8958" max="8960" width="4.58203125" style="4" customWidth="1"/>
    <col min="8961" max="8962" width="4.58203125" style="4" bestFit="1" customWidth="1"/>
    <col min="8963" max="8963" width="4.58203125" style="4" customWidth="1"/>
    <col min="8964" max="8964" width="4.58203125" style="4" bestFit="1" customWidth="1"/>
    <col min="8965" max="9171" width="9" style="4"/>
    <col min="9172" max="9172" width="3" style="4" customWidth="1"/>
    <col min="9173" max="9173" width="7.83203125" style="4" customWidth="1"/>
    <col min="9174" max="9174" width="14.5" style="4" customWidth="1"/>
    <col min="9175" max="9175" width="11" style="4" customWidth="1"/>
    <col min="9176" max="9176" width="10.75" style="4" customWidth="1"/>
    <col min="9177" max="9177" width="9.75" style="4" customWidth="1"/>
    <col min="9178" max="9178" width="3.83203125" style="4" customWidth="1"/>
    <col min="9179" max="9208" width="3.5" style="4" customWidth="1"/>
    <col min="9209" max="9209" width="6" style="4" bestFit="1" customWidth="1"/>
    <col min="9210" max="9210" width="6.25" style="4" customWidth="1"/>
    <col min="9211" max="9211" width="4.75" style="4" customWidth="1"/>
    <col min="9212" max="9213" width="4.75" style="4" bestFit="1" customWidth="1"/>
    <col min="9214" max="9216" width="4.58203125" style="4" customWidth="1"/>
    <col min="9217" max="9218" width="4.58203125" style="4" bestFit="1" customWidth="1"/>
    <col min="9219" max="9219" width="4.58203125" style="4" customWidth="1"/>
    <col min="9220" max="9220" width="4.58203125" style="4" bestFit="1" customWidth="1"/>
    <col min="9221" max="9427" width="9" style="4"/>
    <col min="9428" max="9428" width="3" style="4" customWidth="1"/>
    <col min="9429" max="9429" width="7.83203125" style="4" customWidth="1"/>
    <col min="9430" max="9430" width="14.5" style="4" customWidth="1"/>
    <col min="9431" max="9431" width="11" style="4" customWidth="1"/>
    <col min="9432" max="9432" width="10.75" style="4" customWidth="1"/>
    <col min="9433" max="9433" width="9.75" style="4" customWidth="1"/>
    <col min="9434" max="9434" width="3.83203125" style="4" customWidth="1"/>
    <col min="9435" max="9464" width="3.5" style="4" customWidth="1"/>
    <col min="9465" max="9465" width="6" style="4" bestFit="1" customWidth="1"/>
    <col min="9466" max="9466" width="6.25" style="4" customWidth="1"/>
    <col min="9467" max="9467" width="4.75" style="4" customWidth="1"/>
    <col min="9468" max="9469" width="4.75" style="4" bestFit="1" customWidth="1"/>
    <col min="9470" max="9472" width="4.58203125" style="4" customWidth="1"/>
    <col min="9473" max="9474" width="4.58203125" style="4" bestFit="1" customWidth="1"/>
    <col min="9475" max="9475" width="4.58203125" style="4" customWidth="1"/>
    <col min="9476" max="9476" width="4.58203125" style="4" bestFit="1" customWidth="1"/>
    <col min="9477" max="9683" width="9" style="4"/>
    <col min="9684" max="9684" width="3" style="4" customWidth="1"/>
    <col min="9685" max="9685" width="7.83203125" style="4" customWidth="1"/>
    <col min="9686" max="9686" width="14.5" style="4" customWidth="1"/>
    <col min="9687" max="9687" width="11" style="4" customWidth="1"/>
    <col min="9688" max="9688" width="10.75" style="4" customWidth="1"/>
    <col min="9689" max="9689" width="9.75" style="4" customWidth="1"/>
    <col min="9690" max="9690" width="3.83203125" style="4" customWidth="1"/>
    <col min="9691" max="9720" width="3.5" style="4" customWidth="1"/>
    <col min="9721" max="9721" width="6" style="4" bestFit="1" customWidth="1"/>
    <col min="9722" max="9722" width="6.25" style="4" customWidth="1"/>
    <col min="9723" max="9723" width="4.75" style="4" customWidth="1"/>
    <col min="9724" max="9725" width="4.75" style="4" bestFit="1" customWidth="1"/>
    <col min="9726" max="9728" width="4.58203125" style="4" customWidth="1"/>
    <col min="9729" max="9730" width="4.58203125" style="4" bestFit="1" customWidth="1"/>
    <col min="9731" max="9731" width="4.58203125" style="4" customWidth="1"/>
    <col min="9732" max="9732" width="4.58203125" style="4" bestFit="1" customWidth="1"/>
    <col min="9733" max="9939" width="9" style="4"/>
    <col min="9940" max="9940" width="3" style="4" customWidth="1"/>
    <col min="9941" max="9941" width="7.83203125" style="4" customWidth="1"/>
    <col min="9942" max="9942" width="14.5" style="4" customWidth="1"/>
    <col min="9943" max="9943" width="11" style="4" customWidth="1"/>
    <col min="9944" max="9944" width="10.75" style="4" customWidth="1"/>
    <col min="9945" max="9945" width="9.75" style="4" customWidth="1"/>
    <col min="9946" max="9946" width="3.83203125" style="4" customWidth="1"/>
    <col min="9947" max="9976" width="3.5" style="4" customWidth="1"/>
    <col min="9977" max="9977" width="6" style="4" bestFit="1" customWidth="1"/>
    <col min="9978" max="9978" width="6.25" style="4" customWidth="1"/>
    <col min="9979" max="9979" width="4.75" style="4" customWidth="1"/>
    <col min="9980" max="9981" width="4.75" style="4" bestFit="1" customWidth="1"/>
    <col min="9982" max="9984" width="4.58203125" style="4" customWidth="1"/>
    <col min="9985" max="9986" width="4.58203125" style="4" bestFit="1" customWidth="1"/>
    <col min="9987" max="9987" width="4.58203125" style="4" customWidth="1"/>
    <col min="9988" max="9988" width="4.58203125" style="4" bestFit="1" customWidth="1"/>
    <col min="9989" max="10195" width="9" style="4"/>
    <col min="10196" max="10196" width="3" style="4" customWidth="1"/>
    <col min="10197" max="10197" width="7.83203125" style="4" customWidth="1"/>
    <col min="10198" max="10198" width="14.5" style="4" customWidth="1"/>
    <col min="10199" max="10199" width="11" style="4" customWidth="1"/>
    <col min="10200" max="10200" width="10.75" style="4" customWidth="1"/>
    <col min="10201" max="10201" width="9.75" style="4" customWidth="1"/>
    <col min="10202" max="10202" width="3.83203125" style="4" customWidth="1"/>
    <col min="10203" max="10232" width="3.5" style="4" customWidth="1"/>
    <col min="10233" max="10233" width="6" style="4" bestFit="1" customWidth="1"/>
    <col min="10234" max="10234" width="6.25" style="4" customWidth="1"/>
    <col min="10235" max="10235" width="4.75" style="4" customWidth="1"/>
    <col min="10236" max="10237" width="4.75" style="4" bestFit="1" customWidth="1"/>
    <col min="10238" max="10240" width="4.58203125" style="4" customWidth="1"/>
    <col min="10241" max="10242" width="4.58203125" style="4" bestFit="1" customWidth="1"/>
    <col min="10243" max="10243" width="4.58203125" style="4" customWidth="1"/>
    <col min="10244" max="10244" width="4.58203125" style="4" bestFit="1" customWidth="1"/>
    <col min="10245" max="10451" width="9" style="4"/>
    <col min="10452" max="10452" width="3" style="4" customWidth="1"/>
    <col min="10453" max="10453" width="7.83203125" style="4" customWidth="1"/>
    <col min="10454" max="10454" width="14.5" style="4" customWidth="1"/>
    <col min="10455" max="10455" width="11" style="4" customWidth="1"/>
    <col min="10456" max="10456" width="10.75" style="4" customWidth="1"/>
    <col min="10457" max="10457" width="9.75" style="4" customWidth="1"/>
    <col min="10458" max="10458" width="3.83203125" style="4" customWidth="1"/>
    <col min="10459" max="10488" width="3.5" style="4" customWidth="1"/>
    <col min="10489" max="10489" width="6" style="4" bestFit="1" customWidth="1"/>
    <col min="10490" max="10490" width="6.25" style="4" customWidth="1"/>
    <col min="10491" max="10491" width="4.75" style="4" customWidth="1"/>
    <col min="10492" max="10493" width="4.75" style="4" bestFit="1" customWidth="1"/>
    <col min="10494" max="10496" width="4.58203125" style="4" customWidth="1"/>
    <col min="10497" max="10498" width="4.58203125" style="4" bestFit="1" customWidth="1"/>
    <col min="10499" max="10499" width="4.58203125" style="4" customWidth="1"/>
    <col min="10500" max="10500" width="4.58203125" style="4" bestFit="1" customWidth="1"/>
    <col min="10501" max="10707" width="9" style="4"/>
    <col min="10708" max="10708" width="3" style="4" customWidth="1"/>
    <col min="10709" max="10709" width="7.83203125" style="4" customWidth="1"/>
    <col min="10710" max="10710" width="14.5" style="4" customWidth="1"/>
    <col min="10711" max="10711" width="11" style="4" customWidth="1"/>
    <col min="10712" max="10712" width="10.75" style="4" customWidth="1"/>
    <col min="10713" max="10713" width="9.75" style="4" customWidth="1"/>
    <col min="10714" max="10714" width="3.83203125" style="4" customWidth="1"/>
    <col min="10715" max="10744" width="3.5" style="4" customWidth="1"/>
    <col min="10745" max="10745" width="6" style="4" bestFit="1" customWidth="1"/>
    <col min="10746" max="10746" width="6.25" style="4" customWidth="1"/>
    <col min="10747" max="10747" width="4.75" style="4" customWidth="1"/>
    <col min="10748" max="10749" width="4.75" style="4" bestFit="1" customWidth="1"/>
    <col min="10750" max="10752" width="4.58203125" style="4" customWidth="1"/>
    <col min="10753" max="10754" width="4.58203125" style="4" bestFit="1" customWidth="1"/>
    <col min="10755" max="10755" width="4.58203125" style="4" customWidth="1"/>
    <col min="10756" max="10756" width="4.58203125" style="4" bestFit="1" customWidth="1"/>
    <col min="10757" max="10963" width="9" style="4"/>
    <col min="10964" max="10964" width="3" style="4" customWidth="1"/>
    <col min="10965" max="10965" width="7.83203125" style="4" customWidth="1"/>
    <col min="10966" max="10966" width="14.5" style="4" customWidth="1"/>
    <col min="10967" max="10967" width="11" style="4" customWidth="1"/>
    <col min="10968" max="10968" width="10.75" style="4" customWidth="1"/>
    <col min="10969" max="10969" width="9.75" style="4" customWidth="1"/>
    <col min="10970" max="10970" width="3.83203125" style="4" customWidth="1"/>
    <col min="10971" max="11000" width="3.5" style="4" customWidth="1"/>
    <col min="11001" max="11001" width="6" style="4" bestFit="1" customWidth="1"/>
    <col min="11002" max="11002" width="6.25" style="4" customWidth="1"/>
    <col min="11003" max="11003" width="4.75" style="4" customWidth="1"/>
    <col min="11004" max="11005" width="4.75" style="4" bestFit="1" customWidth="1"/>
    <col min="11006" max="11008" width="4.58203125" style="4" customWidth="1"/>
    <col min="11009" max="11010" width="4.58203125" style="4" bestFit="1" customWidth="1"/>
    <col min="11011" max="11011" width="4.58203125" style="4" customWidth="1"/>
    <col min="11012" max="11012" width="4.58203125" style="4" bestFit="1" customWidth="1"/>
    <col min="11013" max="11219" width="9" style="4"/>
    <col min="11220" max="11220" width="3" style="4" customWidth="1"/>
    <col min="11221" max="11221" width="7.83203125" style="4" customWidth="1"/>
    <col min="11222" max="11222" width="14.5" style="4" customWidth="1"/>
    <col min="11223" max="11223" width="11" style="4" customWidth="1"/>
    <col min="11224" max="11224" width="10.75" style="4" customWidth="1"/>
    <col min="11225" max="11225" width="9.75" style="4" customWidth="1"/>
    <col min="11226" max="11226" width="3.83203125" style="4" customWidth="1"/>
    <col min="11227" max="11256" width="3.5" style="4" customWidth="1"/>
    <col min="11257" max="11257" width="6" style="4" bestFit="1" customWidth="1"/>
    <col min="11258" max="11258" width="6.25" style="4" customWidth="1"/>
    <col min="11259" max="11259" width="4.75" style="4" customWidth="1"/>
    <col min="11260" max="11261" width="4.75" style="4" bestFit="1" customWidth="1"/>
    <col min="11262" max="11264" width="4.58203125" style="4" customWidth="1"/>
    <col min="11265" max="11266" width="4.58203125" style="4" bestFit="1" customWidth="1"/>
    <col min="11267" max="11267" width="4.58203125" style="4" customWidth="1"/>
    <col min="11268" max="11268" width="4.58203125" style="4" bestFit="1" customWidth="1"/>
    <col min="11269" max="11475" width="9" style="4"/>
    <col min="11476" max="11476" width="3" style="4" customWidth="1"/>
    <col min="11477" max="11477" width="7.83203125" style="4" customWidth="1"/>
    <col min="11478" max="11478" width="14.5" style="4" customWidth="1"/>
    <col min="11479" max="11479" width="11" style="4" customWidth="1"/>
    <col min="11480" max="11480" width="10.75" style="4" customWidth="1"/>
    <col min="11481" max="11481" width="9.75" style="4" customWidth="1"/>
    <col min="11482" max="11482" width="3.83203125" style="4" customWidth="1"/>
    <col min="11483" max="11512" width="3.5" style="4" customWidth="1"/>
    <col min="11513" max="11513" width="6" style="4" bestFit="1" customWidth="1"/>
    <col min="11514" max="11514" width="6.25" style="4" customWidth="1"/>
    <col min="11515" max="11515" width="4.75" style="4" customWidth="1"/>
    <col min="11516" max="11517" width="4.75" style="4" bestFit="1" customWidth="1"/>
    <col min="11518" max="11520" width="4.58203125" style="4" customWidth="1"/>
    <col min="11521" max="11522" width="4.58203125" style="4" bestFit="1" customWidth="1"/>
    <col min="11523" max="11523" width="4.58203125" style="4" customWidth="1"/>
    <col min="11524" max="11524" width="4.58203125" style="4" bestFit="1" customWidth="1"/>
    <col min="11525" max="11731" width="9" style="4"/>
    <col min="11732" max="11732" width="3" style="4" customWidth="1"/>
    <col min="11733" max="11733" width="7.83203125" style="4" customWidth="1"/>
    <col min="11734" max="11734" width="14.5" style="4" customWidth="1"/>
    <col min="11735" max="11735" width="11" style="4" customWidth="1"/>
    <col min="11736" max="11736" width="10.75" style="4" customWidth="1"/>
    <col min="11737" max="11737" width="9.75" style="4" customWidth="1"/>
    <col min="11738" max="11738" width="3.83203125" style="4" customWidth="1"/>
    <col min="11739" max="11768" width="3.5" style="4" customWidth="1"/>
    <col min="11769" max="11769" width="6" style="4" bestFit="1" customWidth="1"/>
    <col min="11770" max="11770" width="6.25" style="4" customWidth="1"/>
    <col min="11771" max="11771" width="4.75" style="4" customWidth="1"/>
    <col min="11772" max="11773" width="4.75" style="4" bestFit="1" customWidth="1"/>
    <col min="11774" max="11776" width="4.58203125" style="4" customWidth="1"/>
    <col min="11777" max="11778" width="4.58203125" style="4" bestFit="1" customWidth="1"/>
    <col min="11779" max="11779" width="4.58203125" style="4" customWidth="1"/>
    <col min="11780" max="11780" width="4.58203125" style="4" bestFit="1" customWidth="1"/>
    <col min="11781" max="11987" width="9" style="4"/>
    <col min="11988" max="11988" width="3" style="4" customWidth="1"/>
    <col min="11989" max="11989" width="7.83203125" style="4" customWidth="1"/>
    <col min="11990" max="11990" width="14.5" style="4" customWidth="1"/>
    <col min="11991" max="11991" width="11" style="4" customWidth="1"/>
    <col min="11992" max="11992" width="10.75" style="4" customWidth="1"/>
    <col min="11993" max="11993" width="9.75" style="4" customWidth="1"/>
    <col min="11994" max="11994" width="3.83203125" style="4" customWidth="1"/>
    <col min="11995" max="12024" width="3.5" style="4" customWidth="1"/>
    <col min="12025" max="12025" width="6" style="4" bestFit="1" customWidth="1"/>
    <col min="12026" max="12026" width="6.25" style="4" customWidth="1"/>
    <col min="12027" max="12027" width="4.75" style="4" customWidth="1"/>
    <col min="12028" max="12029" width="4.75" style="4" bestFit="1" customWidth="1"/>
    <col min="12030" max="12032" width="4.58203125" style="4" customWidth="1"/>
    <col min="12033" max="12034" width="4.58203125" style="4" bestFit="1" customWidth="1"/>
    <col min="12035" max="12035" width="4.58203125" style="4" customWidth="1"/>
    <col min="12036" max="12036" width="4.58203125" style="4" bestFit="1" customWidth="1"/>
    <col min="12037" max="12243" width="9" style="4"/>
    <col min="12244" max="12244" width="3" style="4" customWidth="1"/>
    <col min="12245" max="12245" width="7.83203125" style="4" customWidth="1"/>
    <col min="12246" max="12246" width="14.5" style="4" customWidth="1"/>
    <col min="12247" max="12247" width="11" style="4" customWidth="1"/>
    <col min="12248" max="12248" width="10.75" style="4" customWidth="1"/>
    <col min="12249" max="12249" width="9.75" style="4" customWidth="1"/>
    <col min="12250" max="12250" width="3.83203125" style="4" customWidth="1"/>
    <col min="12251" max="12280" width="3.5" style="4" customWidth="1"/>
    <col min="12281" max="12281" width="6" style="4" bestFit="1" customWidth="1"/>
    <col min="12282" max="12282" width="6.25" style="4" customWidth="1"/>
    <col min="12283" max="12283" width="4.75" style="4" customWidth="1"/>
    <col min="12284" max="12285" width="4.75" style="4" bestFit="1" customWidth="1"/>
    <col min="12286" max="12288" width="4.58203125" style="4" customWidth="1"/>
    <col min="12289" max="12290" width="4.58203125" style="4" bestFit="1" customWidth="1"/>
    <col min="12291" max="12291" width="4.58203125" style="4" customWidth="1"/>
    <col min="12292" max="12292" width="4.58203125" style="4" bestFit="1" customWidth="1"/>
    <col min="12293" max="12499" width="9" style="4"/>
    <col min="12500" max="12500" width="3" style="4" customWidth="1"/>
    <col min="12501" max="12501" width="7.83203125" style="4" customWidth="1"/>
    <col min="12502" max="12502" width="14.5" style="4" customWidth="1"/>
    <col min="12503" max="12503" width="11" style="4" customWidth="1"/>
    <col min="12504" max="12504" width="10.75" style="4" customWidth="1"/>
    <col min="12505" max="12505" width="9.75" style="4" customWidth="1"/>
    <col min="12506" max="12506" width="3.83203125" style="4" customWidth="1"/>
    <col min="12507" max="12536" width="3.5" style="4" customWidth="1"/>
    <col min="12537" max="12537" width="6" style="4" bestFit="1" customWidth="1"/>
    <col min="12538" max="12538" width="6.25" style="4" customWidth="1"/>
    <col min="12539" max="12539" width="4.75" style="4" customWidth="1"/>
    <col min="12540" max="12541" width="4.75" style="4" bestFit="1" customWidth="1"/>
    <col min="12542" max="12544" width="4.58203125" style="4" customWidth="1"/>
    <col min="12545" max="12546" width="4.58203125" style="4" bestFit="1" customWidth="1"/>
    <col min="12547" max="12547" width="4.58203125" style="4" customWidth="1"/>
    <col min="12548" max="12548" width="4.58203125" style="4" bestFit="1" customWidth="1"/>
    <col min="12549" max="12755" width="9" style="4"/>
    <col min="12756" max="12756" width="3" style="4" customWidth="1"/>
    <col min="12757" max="12757" width="7.83203125" style="4" customWidth="1"/>
    <col min="12758" max="12758" width="14.5" style="4" customWidth="1"/>
    <col min="12759" max="12759" width="11" style="4" customWidth="1"/>
    <col min="12760" max="12760" width="10.75" style="4" customWidth="1"/>
    <col min="12761" max="12761" width="9.75" style="4" customWidth="1"/>
    <col min="12762" max="12762" width="3.83203125" style="4" customWidth="1"/>
    <col min="12763" max="12792" width="3.5" style="4" customWidth="1"/>
    <col min="12793" max="12793" width="6" style="4" bestFit="1" customWidth="1"/>
    <col min="12794" max="12794" width="6.25" style="4" customWidth="1"/>
    <col min="12795" max="12795" width="4.75" style="4" customWidth="1"/>
    <col min="12796" max="12797" width="4.75" style="4" bestFit="1" customWidth="1"/>
    <col min="12798" max="12800" width="4.58203125" style="4" customWidth="1"/>
    <col min="12801" max="12802" width="4.58203125" style="4" bestFit="1" customWidth="1"/>
    <col min="12803" max="12803" width="4.58203125" style="4" customWidth="1"/>
    <col min="12804" max="12804" width="4.58203125" style="4" bestFit="1" customWidth="1"/>
    <col min="12805" max="13011" width="9" style="4"/>
    <col min="13012" max="13012" width="3" style="4" customWidth="1"/>
    <col min="13013" max="13013" width="7.83203125" style="4" customWidth="1"/>
    <col min="13014" max="13014" width="14.5" style="4" customWidth="1"/>
    <col min="13015" max="13015" width="11" style="4" customWidth="1"/>
    <col min="13016" max="13016" width="10.75" style="4" customWidth="1"/>
    <col min="13017" max="13017" width="9.75" style="4" customWidth="1"/>
    <col min="13018" max="13018" width="3.83203125" style="4" customWidth="1"/>
    <col min="13019" max="13048" width="3.5" style="4" customWidth="1"/>
    <col min="13049" max="13049" width="6" style="4" bestFit="1" customWidth="1"/>
    <col min="13050" max="13050" width="6.25" style="4" customWidth="1"/>
    <col min="13051" max="13051" width="4.75" style="4" customWidth="1"/>
    <col min="13052" max="13053" width="4.75" style="4" bestFit="1" customWidth="1"/>
    <col min="13054" max="13056" width="4.58203125" style="4" customWidth="1"/>
    <col min="13057" max="13058" width="4.58203125" style="4" bestFit="1" customWidth="1"/>
    <col min="13059" max="13059" width="4.58203125" style="4" customWidth="1"/>
    <col min="13060" max="13060" width="4.58203125" style="4" bestFit="1" customWidth="1"/>
    <col min="13061" max="13267" width="9" style="4"/>
    <col min="13268" max="13268" width="3" style="4" customWidth="1"/>
    <col min="13269" max="13269" width="7.83203125" style="4" customWidth="1"/>
    <col min="13270" max="13270" width="14.5" style="4" customWidth="1"/>
    <col min="13271" max="13271" width="11" style="4" customWidth="1"/>
    <col min="13272" max="13272" width="10.75" style="4" customWidth="1"/>
    <col min="13273" max="13273" width="9.75" style="4" customWidth="1"/>
    <col min="13274" max="13274" width="3.83203125" style="4" customWidth="1"/>
    <col min="13275" max="13304" width="3.5" style="4" customWidth="1"/>
    <col min="13305" max="13305" width="6" style="4" bestFit="1" customWidth="1"/>
    <col min="13306" max="13306" width="6.25" style="4" customWidth="1"/>
    <col min="13307" max="13307" width="4.75" style="4" customWidth="1"/>
    <col min="13308" max="13309" width="4.75" style="4" bestFit="1" customWidth="1"/>
    <col min="13310" max="13312" width="4.58203125" style="4" customWidth="1"/>
    <col min="13313" max="13314" width="4.58203125" style="4" bestFit="1" customWidth="1"/>
    <col min="13315" max="13315" width="4.58203125" style="4" customWidth="1"/>
    <col min="13316" max="13316" width="4.58203125" style="4" bestFit="1" customWidth="1"/>
    <col min="13317" max="13523" width="9" style="4"/>
    <col min="13524" max="13524" width="3" style="4" customWidth="1"/>
    <col min="13525" max="13525" width="7.83203125" style="4" customWidth="1"/>
    <col min="13526" max="13526" width="14.5" style="4" customWidth="1"/>
    <col min="13527" max="13527" width="11" style="4" customWidth="1"/>
    <col min="13528" max="13528" width="10.75" style="4" customWidth="1"/>
    <col min="13529" max="13529" width="9.75" style="4" customWidth="1"/>
    <col min="13530" max="13530" width="3.83203125" style="4" customWidth="1"/>
    <col min="13531" max="13560" width="3.5" style="4" customWidth="1"/>
    <col min="13561" max="13561" width="6" style="4" bestFit="1" customWidth="1"/>
    <col min="13562" max="13562" width="6.25" style="4" customWidth="1"/>
    <col min="13563" max="13563" width="4.75" style="4" customWidth="1"/>
    <col min="13564" max="13565" width="4.75" style="4" bestFit="1" customWidth="1"/>
    <col min="13566" max="13568" width="4.58203125" style="4" customWidth="1"/>
    <col min="13569" max="13570" width="4.58203125" style="4" bestFit="1" customWidth="1"/>
    <col min="13571" max="13571" width="4.58203125" style="4" customWidth="1"/>
    <col min="13572" max="13572" width="4.58203125" style="4" bestFit="1" customWidth="1"/>
    <col min="13573" max="13779" width="9" style="4"/>
    <col min="13780" max="13780" width="3" style="4" customWidth="1"/>
    <col min="13781" max="13781" width="7.83203125" style="4" customWidth="1"/>
    <col min="13782" max="13782" width="14.5" style="4" customWidth="1"/>
    <col min="13783" max="13783" width="11" style="4" customWidth="1"/>
    <col min="13784" max="13784" width="10.75" style="4" customWidth="1"/>
    <col min="13785" max="13785" width="9.75" style="4" customWidth="1"/>
    <col min="13786" max="13786" width="3.83203125" style="4" customWidth="1"/>
    <col min="13787" max="13816" width="3.5" style="4" customWidth="1"/>
    <col min="13817" max="13817" width="6" style="4" bestFit="1" customWidth="1"/>
    <col min="13818" max="13818" width="6.25" style="4" customWidth="1"/>
    <col min="13819" max="13819" width="4.75" style="4" customWidth="1"/>
    <col min="13820" max="13821" width="4.75" style="4" bestFit="1" customWidth="1"/>
    <col min="13822" max="13824" width="4.58203125" style="4" customWidth="1"/>
    <col min="13825" max="13826" width="4.58203125" style="4" bestFit="1" customWidth="1"/>
    <col min="13827" max="13827" width="4.58203125" style="4" customWidth="1"/>
    <col min="13828" max="13828" width="4.58203125" style="4" bestFit="1" customWidth="1"/>
    <col min="13829" max="14035" width="9" style="4"/>
    <col min="14036" max="14036" width="3" style="4" customWidth="1"/>
    <col min="14037" max="14037" width="7.83203125" style="4" customWidth="1"/>
    <col min="14038" max="14038" width="14.5" style="4" customWidth="1"/>
    <col min="14039" max="14039" width="11" style="4" customWidth="1"/>
    <col min="14040" max="14040" width="10.75" style="4" customWidth="1"/>
    <col min="14041" max="14041" width="9.75" style="4" customWidth="1"/>
    <col min="14042" max="14042" width="3.83203125" style="4" customWidth="1"/>
    <col min="14043" max="14072" width="3.5" style="4" customWidth="1"/>
    <col min="14073" max="14073" width="6" style="4" bestFit="1" customWidth="1"/>
    <col min="14074" max="14074" width="6.25" style="4" customWidth="1"/>
    <col min="14075" max="14075" width="4.75" style="4" customWidth="1"/>
    <col min="14076" max="14077" width="4.75" style="4" bestFit="1" customWidth="1"/>
    <col min="14078" max="14080" width="4.58203125" style="4" customWidth="1"/>
    <col min="14081" max="14082" width="4.58203125" style="4" bestFit="1" customWidth="1"/>
    <col min="14083" max="14083" width="4.58203125" style="4" customWidth="1"/>
    <col min="14084" max="14084" width="4.58203125" style="4" bestFit="1" customWidth="1"/>
    <col min="14085" max="14291" width="9" style="4"/>
    <col min="14292" max="14292" width="3" style="4" customWidth="1"/>
    <col min="14293" max="14293" width="7.83203125" style="4" customWidth="1"/>
    <col min="14294" max="14294" width="14.5" style="4" customWidth="1"/>
    <col min="14295" max="14295" width="11" style="4" customWidth="1"/>
    <col min="14296" max="14296" width="10.75" style="4" customWidth="1"/>
    <col min="14297" max="14297" width="9.75" style="4" customWidth="1"/>
    <col min="14298" max="14298" width="3.83203125" style="4" customWidth="1"/>
    <col min="14299" max="14328" width="3.5" style="4" customWidth="1"/>
    <col min="14329" max="14329" width="6" style="4" bestFit="1" customWidth="1"/>
    <col min="14330" max="14330" width="6.25" style="4" customWidth="1"/>
    <col min="14331" max="14331" width="4.75" style="4" customWidth="1"/>
    <col min="14332" max="14333" width="4.75" style="4" bestFit="1" customWidth="1"/>
    <col min="14334" max="14336" width="4.58203125" style="4" customWidth="1"/>
    <col min="14337" max="14338" width="4.58203125" style="4" bestFit="1" customWidth="1"/>
    <col min="14339" max="14339" width="4.58203125" style="4" customWidth="1"/>
    <col min="14340" max="14340" width="4.58203125" style="4" bestFit="1" customWidth="1"/>
    <col min="14341" max="14547" width="9" style="4"/>
    <col min="14548" max="14548" width="3" style="4" customWidth="1"/>
    <col min="14549" max="14549" width="7.83203125" style="4" customWidth="1"/>
    <col min="14550" max="14550" width="14.5" style="4" customWidth="1"/>
    <col min="14551" max="14551" width="11" style="4" customWidth="1"/>
    <col min="14552" max="14552" width="10.75" style="4" customWidth="1"/>
    <col min="14553" max="14553" width="9.75" style="4" customWidth="1"/>
    <col min="14554" max="14554" width="3.83203125" style="4" customWidth="1"/>
    <col min="14555" max="14584" width="3.5" style="4" customWidth="1"/>
    <col min="14585" max="14585" width="6" style="4" bestFit="1" customWidth="1"/>
    <col min="14586" max="14586" width="6.25" style="4" customWidth="1"/>
    <col min="14587" max="14587" width="4.75" style="4" customWidth="1"/>
    <col min="14588" max="14589" width="4.75" style="4" bestFit="1" customWidth="1"/>
    <col min="14590" max="14592" width="4.58203125" style="4" customWidth="1"/>
    <col min="14593" max="14594" width="4.58203125" style="4" bestFit="1" customWidth="1"/>
    <col min="14595" max="14595" width="4.58203125" style="4" customWidth="1"/>
    <col min="14596" max="14596" width="4.58203125" style="4" bestFit="1" customWidth="1"/>
    <col min="14597" max="14803" width="9" style="4"/>
    <col min="14804" max="14804" width="3" style="4" customWidth="1"/>
    <col min="14805" max="14805" width="7.83203125" style="4" customWidth="1"/>
    <col min="14806" max="14806" width="14.5" style="4" customWidth="1"/>
    <col min="14807" max="14807" width="11" style="4" customWidth="1"/>
    <col min="14808" max="14808" width="10.75" style="4" customWidth="1"/>
    <col min="14809" max="14809" width="9.75" style="4" customWidth="1"/>
    <col min="14810" max="14810" width="3.83203125" style="4" customWidth="1"/>
    <col min="14811" max="14840" width="3.5" style="4" customWidth="1"/>
    <col min="14841" max="14841" width="6" style="4" bestFit="1" customWidth="1"/>
    <col min="14842" max="14842" width="6.25" style="4" customWidth="1"/>
    <col min="14843" max="14843" width="4.75" style="4" customWidth="1"/>
    <col min="14844" max="14845" width="4.75" style="4" bestFit="1" customWidth="1"/>
    <col min="14846" max="14848" width="4.58203125" style="4" customWidth="1"/>
    <col min="14849" max="14850" width="4.58203125" style="4" bestFit="1" customWidth="1"/>
    <col min="14851" max="14851" width="4.58203125" style="4" customWidth="1"/>
    <col min="14852" max="14852" width="4.58203125" style="4" bestFit="1" customWidth="1"/>
    <col min="14853" max="15059" width="9" style="4"/>
    <col min="15060" max="15060" width="3" style="4" customWidth="1"/>
    <col min="15061" max="15061" width="7.83203125" style="4" customWidth="1"/>
    <col min="15062" max="15062" width="14.5" style="4" customWidth="1"/>
    <col min="15063" max="15063" width="11" style="4" customWidth="1"/>
    <col min="15064" max="15064" width="10.75" style="4" customWidth="1"/>
    <col min="15065" max="15065" width="9.75" style="4" customWidth="1"/>
    <col min="15066" max="15066" width="3.83203125" style="4" customWidth="1"/>
    <col min="15067" max="15096" width="3.5" style="4" customWidth="1"/>
    <col min="15097" max="15097" width="6" style="4" bestFit="1" customWidth="1"/>
    <col min="15098" max="15098" width="6.25" style="4" customWidth="1"/>
    <col min="15099" max="15099" width="4.75" style="4" customWidth="1"/>
    <col min="15100" max="15101" width="4.75" style="4" bestFit="1" customWidth="1"/>
    <col min="15102" max="15104" width="4.58203125" style="4" customWidth="1"/>
    <col min="15105" max="15106" width="4.58203125" style="4" bestFit="1" customWidth="1"/>
    <col min="15107" max="15107" width="4.58203125" style="4" customWidth="1"/>
    <col min="15108" max="15108" width="4.58203125" style="4" bestFit="1" customWidth="1"/>
    <col min="15109" max="15315" width="9" style="4"/>
    <col min="15316" max="15316" width="3" style="4" customWidth="1"/>
    <col min="15317" max="15317" width="7.83203125" style="4" customWidth="1"/>
    <col min="15318" max="15318" width="14.5" style="4" customWidth="1"/>
    <col min="15319" max="15319" width="11" style="4" customWidth="1"/>
    <col min="15320" max="15320" width="10.75" style="4" customWidth="1"/>
    <col min="15321" max="15321" width="9.75" style="4" customWidth="1"/>
    <col min="15322" max="15322" width="3.83203125" style="4" customWidth="1"/>
    <col min="15323" max="15352" width="3.5" style="4" customWidth="1"/>
    <col min="15353" max="15353" width="6" style="4" bestFit="1" customWidth="1"/>
    <col min="15354" max="15354" width="6.25" style="4" customWidth="1"/>
    <col min="15355" max="15355" width="4.75" style="4" customWidth="1"/>
    <col min="15356" max="15357" width="4.75" style="4" bestFit="1" customWidth="1"/>
    <col min="15358" max="15360" width="4.58203125" style="4" customWidth="1"/>
    <col min="15361" max="15362" width="4.58203125" style="4" bestFit="1" customWidth="1"/>
    <col min="15363" max="15363" width="4.58203125" style="4" customWidth="1"/>
    <col min="15364" max="15364" width="4.58203125" style="4" bestFit="1" customWidth="1"/>
    <col min="15365" max="15571" width="9" style="4"/>
    <col min="15572" max="15572" width="3" style="4" customWidth="1"/>
    <col min="15573" max="15573" width="7.83203125" style="4" customWidth="1"/>
    <col min="15574" max="15574" width="14.5" style="4" customWidth="1"/>
    <col min="15575" max="15575" width="11" style="4" customWidth="1"/>
    <col min="15576" max="15576" width="10.75" style="4" customWidth="1"/>
    <col min="15577" max="15577" width="9.75" style="4" customWidth="1"/>
    <col min="15578" max="15578" width="3.83203125" style="4" customWidth="1"/>
    <col min="15579" max="15608" width="3.5" style="4" customWidth="1"/>
    <col min="15609" max="15609" width="6" style="4" bestFit="1" customWidth="1"/>
    <col min="15610" max="15610" width="6.25" style="4" customWidth="1"/>
    <col min="15611" max="15611" width="4.75" style="4" customWidth="1"/>
    <col min="15612" max="15613" width="4.75" style="4" bestFit="1" customWidth="1"/>
    <col min="15614" max="15616" width="4.58203125" style="4" customWidth="1"/>
    <col min="15617" max="15618" width="4.58203125" style="4" bestFit="1" customWidth="1"/>
    <col min="15619" max="15619" width="4.58203125" style="4" customWidth="1"/>
    <col min="15620" max="15620" width="4.58203125" style="4" bestFit="1" customWidth="1"/>
    <col min="15621" max="15827" width="9" style="4"/>
    <col min="15828" max="15828" width="3" style="4" customWidth="1"/>
    <col min="15829" max="15829" width="7.83203125" style="4" customWidth="1"/>
    <col min="15830" max="15830" width="14.5" style="4" customWidth="1"/>
    <col min="15831" max="15831" width="11" style="4" customWidth="1"/>
    <col min="15832" max="15832" width="10.75" style="4" customWidth="1"/>
    <col min="15833" max="15833" width="9.75" style="4" customWidth="1"/>
    <col min="15834" max="15834" width="3.83203125" style="4" customWidth="1"/>
    <col min="15835" max="15864" width="3.5" style="4" customWidth="1"/>
    <col min="15865" max="15865" width="6" style="4" bestFit="1" customWidth="1"/>
    <col min="15866" max="15866" width="6.25" style="4" customWidth="1"/>
    <col min="15867" max="15867" width="4.75" style="4" customWidth="1"/>
    <col min="15868" max="15869" width="4.75" style="4" bestFit="1" customWidth="1"/>
    <col min="15870" max="15872" width="4.58203125" style="4" customWidth="1"/>
    <col min="15873" max="15874" width="4.58203125" style="4" bestFit="1" customWidth="1"/>
    <col min="15875" max="15875" width="4.58203125" style="4" customWidth="1"/>
    <col min="15876" max="15876" width="4.58203125" style="4" bestFit="1" customWidth="1"/>
    <col min="15877" max="16083" width="9" style="4"/>
    <col min="16084" max="16084" width="3" style="4" customWidth="1"/>
    <col min="16085" max="16085" width="7.83203125" style="4" customWidth="1"/>
    <col min="16086" max="16086" width="14.5" style="4" customWidth="1"/>
    <col min="16087" max="16087" width="11" style="4" customWidth="1"/>
    <col min="16088" max="16088" width="10.75" style="4" customWidth="1"/>
    <col min="16089" max="16089" width="9.75" style="4" customWidth="1"/>
    <col min="16090" max="16090" width="3.83203125" style="4" customWidth="1"/>
    <col min="16091" max="16120" width="3.5" style="4" customWidth="1"/>
    <col min="16121" max="16121" width="6" style="4" bestFit="1" customWidth="1"/>
    <col min="16122" max="16122" width="6.25" style="4" customWidth="1"/>
    <col min="16123" max="16123" width="4.75" style="4" customWidth="1"/>
    <col min="16124" max="16125" width="4.75" style="4" bestFit="1" customWidth="1"/>
    <col min="16126" max="16128" width="4.58203125" style="4" customWidth="1"/>
    <col min="16129" max="16130" width="4.58203125" style="4" bestFit="1" customWidth="1"/>
    <col min="16131" max="16131" width="4.58203125" style="4" customWidth="1"/>
    <col min="16132" max="16132" width="4.58203125" style="4" bestFit="1" customWidth="1"/>
    <col min="16133" max="16384" width="9" style="4"/>
  </cols>
  <sheetData>
    <row r="1" spans="1:7" s="1" customFormat="1" ht="27" customHeight="1" x14ac:dyDescent="0.45">
      <c r="B1" s="77" t="s">
        <v>17</v>
      </c>
      <c r="C1" s="77"/>
      <c r="D1" s="77"/>
      <c r="E1" s="77"/>
    </row>
    <row r="2" spans="1:7" s="2" customFormat="1" ht="12" customHeight="1" x14ac:dyDescent="0.45">
      <c r="B2" s="3"/>
      <c r="C2" s="3"/>
      <c r="D2" s="3"/>
      <c r="E2" s="3"/>
    </row>
    <row r="3" spans="1:7" ht="10" customHeight="1" x14ac:dyDescent="0.45">
      <c r="C3" s="5"/>
      <c r="D3" s="5"/>
      <c r="E3" s="5"/>
    </row>
    <row r="4" spans="1:7" ht="19.5" customHeight="1" thickBot="1" x14ac:dyDescent="0.5">
      <c r="B4" s="6" t="s">
        <v>69</v>
      </c>
      <c r="C4" s="6"/>
      <c r="D4" s="6"/>
      <c r="E4" s="6"/>
    </row>
    <row r="5" spans="1:7" s="6" customFormat="1" ht="25.5" customHeight="1" thickBot="1" x14ac:dyDescent="0.5">
      <c r="B5" s="80" t="s">
        <v>18</v>
      </c>
      <c r="C5" s="81"/>
      <c r="D5" s="19" t="s">
        <v>19</v>
      </c>
      <c r="E5" s="20" t="s">
        <v>20</v>
      </c>
    </row>
    <row r="6" spans="1:7" ht="16" customHeight="1" x14ac:dyDescent="0.45">
      <c r="A6" s="9"/>
      <c r="B6" s="40">
        <v>1</v>
      </c>
      <c r="C6" s="41" t="s">
        <v>14</v>
      </c>
      <c r="D6" s="41" t="s">
        <v>35</v>
      </c>
      <c r="E6" s="42" t="s">
        <v>21</v>
      </c>
    </row>
    <row r="7" spans="1:7" s="5" customFormat="1" ht="16" customHeight="1" x14ac:dyDescent="0.45">
      <c r="B7" s="18">
        <v>2</v>
      </c>
      <c r="C7" s="10" t="s">
        <v>15</v>
      </c>
      <c r="D7" s="10" t="s">
        <v>36</v>
      </c>
      <c r="E7" s="17" t="s">
        <v>22</v>
      </c>
    </row>
    <row r="8" spans="1:7" ht="16" customHeight="1" x14ac:dyDescent="0.45">
      <c r="B8" s="18">
        <v>3</v>
      </c>
      <c r="C8" s="10" t="s">
        <v>16</v>
      </c>
      <c r="D8" s="10" t="s">
        <v>37</v>
      </c>
      <c r="E8" s="17" t="s">
        <v>23</v>
      </c>
    </row>
    <row r="9" spans="1:7" ht="15.75" customHeight="1" x14ac:dyDescent="0.45">
      <c r="B9" s="18">
        <v>4</v>
      </c>
      <c r="C9" s="10" t="s">
        <v>26</v>
      </c>
      <c r="D9" s="10" t="s">
        <v>38</v>
      </c>
      <c r="E9" s="17" t="s">
        <v>28</v>
      </c>
    </row>
    <row r="10" spans="1:7" ht="15.75" customHeight="1" x14ac:dyDescent="0.45">
      <c r="B10" s="18">
        <v>5</v>
      </c>
      <c r="C10" s="10" t="s">
        <v>27</v>
      </c>
      <c r="D10" s="10" t="s">
        <v>39</v>
      </c>
      <c r="E10" s="17" t="s">
        <v>24</v>
      </c>
    </row>
    <row r="11" spans="1:7" ht="15.75" customHeight="1" x14ac:dyDescent="0.45">
      <c r="B11" s="18">
        <v>6</v>
      </c>
      <c r="C11" s="10" t="s">
        <v>92</v>
      </c>
      <c r="D11" s="10" t="s">
        <v>40</v>
      </c>
      <c r="E11" s="17" t="s">
        <v>30</v>
      </c>
    </row>
    <row r="12" spans="1:7" ht="15.75" customHeight="1" x14ac:dyDescent="0.45">
      <c r="B12" s="18">
        <v>7</v>
      </c>
      <c r="C12" s="10" t="s">
        <v>31</v>
      </c>
      <c r="D12" s="10" t="s">
        <v>41</v>
      </c>
      <c r="E12" s="17" t="s">
        <v>32</v>
      </c>
    </row>
    <row r="13" spans="1:7" ht="15.75" customHeight="1" x14ac:dyDescent="0.45">
      <c r="B13" s="18">
        <v>8</v>
      </c>
      <c r="C13" s="10" t="s">
        <v>44</v>
      </c>
      <c r="D13" s="10" t="s">
        <v>42</v>
      </c>
      <c r="E13" s="17" t="s">
        <v>79</v>
      </c>
    </row>
    <row r="14" spans="1:7" ht="15.75" customHeight="1" x14ac:dyDescent="0.45">
      <c r="B14" s="18">
        <v>9</v>
      </c>
      <c r="C14" s="10" t="s">
        <v>13</v>
      </c>
      <c r="D14" s="10" t="s">
        <v>43</v>
      </c>
      <c r="E14" s="17" t="s">
        <v>80</v>
      </c>
    </row>
    <row r="15" spans="1:7" x14ac:dyDescent="0.45">
      <c r="B15" s="18">
        <v>10</v>
      </c>
      <c r="C15" s="10" t="s">
        <v>46</v>
      </c>
      <c r="D15" s="10" t="s">
        <v>48</v>
      </c>
      <c r="E15" s="17" t="s">
        <v>49</v>
      </c>
    </row>
    <row r="16" spans="1:7" x14ac:dyDescent="0.45">
      <c r="B16" s="18">
        <v>11</v>
      </c>
      <c r="C16" s="10" t="s">
        <v>53</v>
      </c>
      <c r="D16" s="10" t="s">
        <v>57</v>
      </c>
      <c r="E16" s="17" t="s">
        <v>81</v>
      </c>
      <c r="G16" s="39"/>
    </row>
    <row r="17" spans="2:5" x14ac:dyDescent="0.45">
      <c r="B17" s="18">
        <v>12</v>
      </c>
      <c r="C17" s="10" t="s">
        <v>55</v>
      </c>
      <c r="D17" s="10" t="s">
        <v>58</v>
      </c>
      <c r="E17" s="17" t="s">
        <v>82</v>
      </c>
    </row>
    <row r="18" spans="2:5" x14ac:dyDescent="0.45">
      <c r="B18" s="18">
        <v>13</v>
      </c>
      <c r="C18" s="10" t="s">
        <v>59</v>
      </c>
      <c r="D18" s="10" t="s">
        <v>60</v>
      </c>
      <c r="E18" s="17" t="s">
        <v>83</v>
      </c>
    </row>
    <row r="19" spans="2:5" x14ac:dyDescent="0.45">
      <c r="B19" s="18">
        <v>14</v>
      </c>
      <c r="C19" s="10" t="s">
        <v>45</v>
      </c>
      <c r="D19" s="10" t="s">
        <v>62</v>
      </c>
      <c r="E19" s="17" t="s">
        <v>84</v>
      </c>
    </row>
    <row r="20" spans="2:5" x14ac:dyDescent="0.45">
      <c r="B20" s="18">
        <v>15</v>
      </c>
      <c r="C20" s="10" t="s">
        <v>112</v>
      </c>
      <c r="D20" s="10" t="s">
        <v>113</v>
      </c>
      <c r="E20" s="17" t="s">
        <v>111</v>
      </c>
    </row>
    <row r="21" spans="2:5" x14ac:dyDescent="0.45">
      <c r="B21" s="18">
        <v>16</v>
      </c>
      <c r="C21" s="10" t="s">
        <v>61</v>
      </c>
      <c r="D21" s="10" t="s">
        <v>64</v>
      </c>
      <c r="E21" s="17" t="s">
        <v>85</v>
      </c>
    </row>
    <row r="22" spans="2:5" x14ac:dyDescent="0.45">
      <c r="B22" s="18">
        <v>17</v>
      </c>
      <c r="C22" s="10" t="s">
        <v>93</v>
      </c>
      <c r="D22" s="10" t="s">
        <v>66</v>
      </c>
      <c r="E22" s="17" t="s">
        <v>65</v>
      </c>
    </row>
    <row r="23" spans="2:5" x14ac:dyDescent="0.45">
      <c r="B23" s="18">
        <v>18</v>
      </c>
      <c r="C23" s="10" t="s">
        <v>70</v>
      </c>
      <c r="D23" s="10" t="s">
        <v>71</v>
      </c>
      <c r="E23" s="17" t="s">
        <v>86</v>
      </c>
    </row>
    <row r="24" spans="2:5" x14ac:dyDescent="0.45">
      <c r="B24" s="18">
        <v>19</v>
      </c>
      <c r="C24" s="10" t="s">
        <v>115</v>
      </c>
      <c r="D24" s="10" t="s">
        <v>116</v>
      </c>
      <c r="E24" s="17" t="s">
        <v>114</v>
      </c>
    </row>
    <row r="25" spans="2:5" x14ac:dyDescent="0.45">
      <c r="B25" s="18">
        <v>20</v>
      </c>
      <c r="C25" s="10" t="s">
        <v>72</v>
      </c>
      <c r="D25" s="10" t="s">
        <v>74</v>
      </c>
      <c r="E25" s="17" t="s">
        <v>87</v>
      </c>
    </row>
    <row r="26" spans="2:5" x14ac:dyDescent="0.45">
      <c r="B26" s="18">
        <v>21</v>
      </c>
      <c r="C26" s="10" t="s">
        <v>73</v>
      </c>
      <c r="D26" s="10" t="s">
        <v>75</v>
      </c>
      <c r="E26" s="17" t="s">
        <v>88</v>
      </c>
    </row>
    <row r="27" spans="2:5" x14ac:dyDescent="0.45">
      <c r="B27" s="18">
        <v>22</v>
      </c>
      <c r="C27" s="10" t="s">
        <v>76</v>
      </c>
      <c r="D27" s="10" t="s">
        <v>90</v>
      </c>
      <c r="E27" s="17" t="s">
        <v>89</v>
      </c>
    </row>
    <row r="28" spans="2:5" x14ac:dyDescent="0.45">
      <c r="B28" s="18">
        <v>23</v>
      </c>
      <c r="C28" s="10" t="s">
        <v>91</v>
      </c>
      <c r="D28" s="10" t="s">
        <v>94</v>
      </c>
      <c r="E28" s="17" t="s">
        <v>95</v>
      </c>
    </row>
    <row r="29" spans="2:5" x14ac:dyDescent="0.45">
      <c r="B29" s="18">
        <v>24</v>
      </c>
      <c r="C29" s="45" t="s">
        <v>97</v>
      </c>
      <c r="D29" s="45" t="s">
        <v>98</v>
      </c>
      <c r="E29" s="46" t="s">
        <v>99</v>
      </c>
    </row>
    <row r="30" spans="2:5" x14ac:dyDescent="0.45">
      <c r="B30" s="18">
        <v>25</v>
      </c>
      <c r="C30" s="45" t="s">
        <v>100</v>
      </c>
      <c r="D30" s="45" t="s">
        <v>101</v>
      </c>
      <c r="E30" s="46" t="s">
        <v>102</v>
      </c>
    </row>
    <row r="31" spans="2:5" x14ac:dyDescent="0.45">
      <c r="B31" s="18">
        <v>26</v>
      </c>
      <c r="C31" s="45" t="s">
        <v>103</v>
      </c>
      <c r="D31" s="45" t="s">
        <v>105</v>
      </c>
      <c r="E31" s="46" t="s">
        <v>106</v>
      </c>
    </row>
    <row r="32" spans="2:5" x14ac:dyDescent="0.45">
      <c r="B32" s="18">
        <v>27</v>
      </c>
      <c r="C32" s="45" t="s">
        <v>104</v>
      </c>
      <c r="D32" s="45" t="s">
        <v>109</v>
      </c>
      <c r="E32" s="46" t="s">
        <v>110</v>
      </c>
    </row>
    <row r="33" spans="2:5" x14ac:dyDescent="0.45">
      <c r="B33" s="18">
        <v>28</v>
      </c>
      <c r="C33" s="45" t="s">
        <v>117</v>
      </c>
      <c r="D33" s="45" t="s">
        <v>120</v>
      </c>
      <c r="E33" s="46" t="s">
        <v>121</v>
      </c>
    </row>
    <row r="34" spans="2:5" x14ac:dyDescent="0.45">
      <c r="B34" s="18">
        <v>29</v>
      </c>
      <c r="C34" s="45" t="s">
        <v>122</v>
      </c>
      <c r="D34" s="45" t="s">
        <v>125</v>
      </c>
      <c r="E34" s="46" t="s">
        <v>123</v>
      </c>
    </row>
    <row r="35" spans="2:5" x14ac:dyDescent="0.45">
      <c r="B35" s="60">
        <v>30</v>
      </c>
      <c r="C35" s="45" t="s">
        <v>119</v>
      </c>
      <c r="D35" s="45" t="s">
        <v>126</v>
      </c>
      <c r="E35" s="46" t="s">
        <v>124</v>
      </c>
    </row>
    <row r="36" spans="2:5" ht="16.5" thickBot="1" x14ac:dyDescent="0.5">
      <c r="B36" s="71">
        <v>31</v>
      </c>
      <c r="C36" s="43" t="s">
        <v>130</v>
      </c>
      <c r="D36" s="43" t="s">
        <v>131</v>
      </c>
      <c r="E36" s="44" t="s">
        <v>132</v>
      </c>
    </row>
  </sheetData>
  <mergeCells count="2">
    <mergeCell ref="B1:E1"/>
    <mergeCell ref="B5:C5"/>
  </mergeCells>
  <phoneticPr fontId="3" type="noConversion"/>
  <pageMargins left="0.11811023622047245" right="0" top="0.55118110236220474" bottom="0" header="0.31496062992125984" footer="0.31496062992125984"/>
  <pageSetup paperSize="9" scale="58" orientation="landscape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2026.5</vt:lpstr>
      <vt:lpstr>근무자 연락처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MMP</dc:creator>
  <cp:lastModifiedBy>김동혁</cp:lastModifiedBy>
  <dcterms:created xsi:type="dcterms:W3CDTF">2021-01-29T01:03:39Z</dcterms:created>
  <dcterms:modified xsi:type="dcterms:W3CDTF">2026-06-02T00:22:03Z</dcterms:modified>
</cp:coreProperties>
</file>